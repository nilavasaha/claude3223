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lcobev + F&amp;B" sheetId="2" state="visible" r:id="rId2"/>
    <sheet name="Lifestyle" sheetId="3" state="visible" r:id="rId3"/>
    <sheet name="Celebrity &amp; Society" sheetId="4" state="visible" r:id="rId4"/>
    <sheet name="Devyani - Luxury, Art, Biz" sheetId="5" state="visible" r:id="rId5"/>
    <sheet name="DHS - Delhi NCR Education" sheetId="6" state="visible" r:id="rId6"/>
    <sheet name="Moved - Do Not Use" sheetId="7" state="visible" r:id="rId7"/>
  </sheets>
  <definedNames>
    <definedName name="_xlnm._FilterDatabase" localSheetId="1" hidden="1">'Alcobev + F&amp;B'!$A$4:$M$33</definedName>
    <definedName name="_xlnm._FilterDatabase" localSheetId="2" hidden="1">'Lifestyle'!$A$4:$M$16</definedName>
    <definedName name="_xlnm._FilterDatabase" localSheetId="3" hidden="1">'Celebrity &amp; Society'!$A$4:$M$11</definedName>
    <definedName name="_xlnm._FilterDatabase" localSheetId="4" hidden="1">'Devyani - Luxury, Art, Biz'!$A$4:$M$14</definedName>
    <definedName name="_xlnm._FilterDatabase" localSheetId="5" hidden="1">'DHS - Delhi NCR Education'!$A$4:$M$27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b val="1"/>
      <sz val="10"/>
    </font>
    <font>
      <name val="Arial"/>
      <sz val="10"/>
    </font>
    <font>
      <name val="Arial"/>
      <b val="1"/>
      <color rgb="001F3864"/>
      <sz val="11"/>
    </font>
    <font>
      <name val="Arial"/>
      <b val="1"/>
      <color rgb="00FFFFFF"/>
      <sz val="10"/>
    </font>
    <font>
      <name val="Arial"/>
      <i val="1"/>
      <color rgb="00595959"/>
      <sz val="9"/>
    </font>
    <font>
      <name val="Arial"/>
      <color rgb="000563C1"/>
      <sz val="10"/>
      <u val="single"/>
    </font>
  </fonts>
  <fills count="7">
    <fill>
      <patternFill/>
    </fill>
    <fill>
      <patternFill patternType="gray125"/>
    </fill>
    <fill>
      <patternFill patternType="solid">
        <fgColor rgb="00C6EFCE"/>
      </patternFill>
    </fill>
    <fill>
      <patternFill patternType="solid">
        <fgColor rgb="00DDEBF7"/>
      </patternFill>
    </fill>
    <fill>
      <patternFill patternType="solid">
        <fgColor rgb="00FFEB9C"/>
      </patternFill>
    </fill>
    <fill>
      <patternFill patternType="solid">
        <fgColor rgb="00FCE4D6"/>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2" fillId="2" borderId="1" pivotButton="0" quotePrefix="0" xfId="0"/>
    <xf numFmtId="0" fontId="3" fillId="0" borderId="1" applyAlignment="1" pivotButton="0" quotePrefix="0" xfId="0">
      <alignment vertical="top" wrapText="1"/>
    </xf>
    <xf numFmtId="0" fontId="2" fillId="3" borderId="1" pivotButton="0" quotePrefix="0" xfId="0"/>
    <xf numFmtId="0" fontId="2" fillId="4" borderId="1" pivotButton="0" quotePrefix="0" xfId="0"/>
    <xf numFmtId="0" fontId="2" fillId="5" borderId="1" pivotButton="0" quotePrefix="0" xfId="0"/>
    <xf numFmtId="0" fontId="5" fillId="6" borderId="1" applyAlignment="1" pivotButton="0" quotePrefix="0" xfId="0">
      <alignment horizontal="center" vertical="center" wrapText="1"/>
    </xf>
    <xf numFmtId="0" fontId="3" fillId="0" borderId="1" pivotButton="0" quotePrefix="0" xfId="0"/>
    <xf numFmtId="0" fontId="2" fillId="0" borderId="1" pivotButton="0" quotePrefix="0" xfId="0"/>
    <xf numFmtId="0" fontId="6" fillId="0" borderId="0" pivotButton="0" quotePrefix="0" xfId="0"/>
    <xf numFmtId="0" fontId="3" fillId="3" borderId="1" applyAlignment="1" pivotButton="0" quotePrefix="0" xfId="0">
      <alignment vertical="top" wrapText="1"/>
    </xf>
    <xf numFmtId="0" fontId="7" fillId="0" borderId="1" applyAlignment="1" pivotButton="0" quotePrefix="0" xfId="0">
      <alignment vertical="top" wrapText="1"/>
    </xf>
    <xf numFmtId="0" fontId="3" fillId="2"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zoominfo.com/p/Bishan-Kumar/9350175409" TargetMode="External" Id="rId1" /><Relationship Type="http://schemas.openxmlformats.org/officeDocument/2006/relationships/hyperlink" Target="https://aabkaritimes.com/editorial-policy/" TargetMode="External" Id="rId2" /><Relationship Type="http://schemas.openxmlformats.org/officeDocument/2006/relationships/hyperlink" Target="https://www.linkedin.com/in/ps-mishra-772a0328/" TargetMode="External" Id="rId3" /><Relationship Type="http://schemas.openxmlformats.org/officeDocument/2006/relationships/hyperlink" Target="https://www.business-standard.com/industry/news/results-preview-alcobev-industry-growth-may-have-cooled-in-q3fy26-126011501168_1.html" TargetMode="External" Id="rId4" /><Relationship Type="http://schemas.openxmlformats.org/officeDocument/2006/relationships/hyperlink" Target="https://www.business-standard.com/author/akshara-srivastava/page-2" TargetMode="External" Id="rId5" /><Relationship Type="http://schemas.openxmlformats.org/officeDocument/2006/relationships/hyperlink" Target="https://muckrack.com/suneera-tandon" TargetMode="External" Id="rId6" /><Relationship Type="http://schemas.openxmlformats.org/officeDocument/2006/relationships/hyperlink" Target="https://bwretailworld.com/food-beverage/india-alcobev-trends-2026-premiumisation-moderation-reform" TargetMode="External" Id="rId7" /><Relationship Type="http://schemas.openxmlformats.org/officeDocument/2006/relationships/hyperlink" Target="https://www.outlookbusiness.com/industry/indias-alcobev-market-splits-into-a-k-shaped-growth-story" TargetMode="External" Id="rId8" /><Relationship Type="http://schemas.openxmlformats.org/officeDocument/2006/relationships/hyperlink" Target="https://www.restaurantindia.in/article/7-indian-spirits-most-drinkers-outside-india-have-never-heard-of.17178" TargetMode="External" Id="rId9" /><Relationship Type="http://schemas.openxmlformats.org/officeDocument/2006/relationships/hyperlink" Target="https://www.restaurantindia.in/article/how-indias-cocktail-culture-is-redefining-the-modern-bar-experience.16809" TargetMode="External" Id="rId10" /><Relationship Type="http://schemas.openxmlformats.org/officeDocument/2006/relationships/hyperlink" Target="https://www.franchiseindia.com/insights/en/news/indian-restaurant-congress-goes-global-with-first-international-edition-in-london.58927" TargetMode="External" Id="rId11" /><Relationship Type="http://schemas.openxmlformats.org/officeDocument/2006/relationships/hyperlink" Target="https://indianretailer.com/franchisetv/author/himanshi-kaushik" TargetMode="External" Id="rId12" /><Relationship Type="http://schemas.openxmlformats.org/officeDocument/2006/relationships/hyperlink" Target="https://www.businessoffood.in/mast-banarasi-paan-charts-aggressive-growth-crossing-400-outlets-explores-fresh-capital/" TargetMode="External" Id="rId13" /><Relationship Type="http://schemas.openxmlformats.org/officeDocument/2006/relationships/hyperlink" Target="https://www.slurrp.com/article/international-whisky-day-2026-experts-on-the-new-whisky-culture-in-india-1774577006830" TargetMode="External" Id="rId14" /><Relationship Type="http://schemas.openxmlformats.org/officeDocument/2006/relationships/hyperlink" Target="https://www.slurrp.com/article/world-whisky-day-2026-whisky-cocktails-amp-mango-moments-when-the-king-of-fruits-meets-the-king-of-spirits-1778850851459" TargetMode="External" Id="rId15" /><Relationship Type="http://schemas.openxmlformats.org/officeDocument/2006/relationships/hyperlink" Target="https://www.slurrp.com/article/the-mindful-pour-inside-indias-new-cocktail-consciousness-1778067928872" TargetMode="External" Id="rId16" /><Relationship Type="http://schemas.openxmlformats.org/officeDocument/2006/relationships/hyperlink" Target="https://www.slurrp.com/article/indias-gin-renaissance-enters-its-second-act-1790770816838" TargetMode="External" Id="rId17" /><Relationship Type="http://schemas.openxmlformats.org/officeDocument/2006/relationships/hyperlink" Target="https://oteats.outlooktraveller.com/about-us" TargetMode="External" Id="rId18" /><Relationship Type="http://schemas.openxmlformats.org/officeDocument/2006/relationships/hyperlink" Target="https://www.esquireindia.co.in/food-and-drinks/what-to-eat/the-best-new-restaurants-and-bars-in-india-in-2026-so-far" TargetMode="External" Id="rId19" /><Relationship Type="http://schemas.openxmlformats.org/officeDocument/2006/relationships/hyperlink" Target="https://thenodmag.com/author/geetika-sachdev" TargetMode="External" Id="rId20" /><Relationship Type="http://schemas.openxmlformats.org/officeDocument/2006/relationships/hyperlink" Target="https://www.timeout.com/profile/poulomi-deb" TargetMode="External" Id="rId21" /><Relationship Type="http://schemas.openxmlformats.org/officeDocument/2006/relationships/hyperlink" Target="https://www.timeout.com/profile/nayantara-singh" TargetMode="External" Id="rId22" /><Relationship Type="http://schemas.openxmlformats.org/officeDocument/2006/relationships/hyperlink" Target="https://www.localsamosa.com/business/mohulo-gin-brand-story-11226236" TargetMode="External" Id="rId23" /><Relationship Type="http://schemas.openxmlformats.org/officeDocument/2006/relationships/hyperlink" Target="https://muckrack.com/vir-sanghvi/articles" TargetMode="External" Id="rId24" /><Relationship Type="http://schemas.openxmlformats.org/officeDocument/2006/relationships/hyperlink" Target="https://www.outlooktraveller.com/News/delhi-food-awards-2026-celebrates-culinary-heritage-community-and-the-future-of-food-in-the-capital" TargetMode="External" Id="rId25" /><Relationship Type="http://schemas.openxmlformats.org/officeDocument/2006/relationships/hyperlink" Target="https://muckrack.com/magandeep-singh/articles" TargetMode="External" Id="rId26" /><Relationship Type="http://schemas.openxmlformats.org/officeDocument/2006/relationships/hyperlink" Target="https://sundayguardianlive.com/feature/cinnamon-life-at-sri-lankas-city-of-dreams-a-fairytale-written-for-two-298239" TargetMode="External" Id="rId27" /><Relationship Type="http://schemas.openxmlformats.org/officeDocument/2006/relationships/hyperlink" Target="https://www.linkedin.com/in/aasheesh-sharma/" TargetMode="External" Id="rId28" /><Relationship Type="http://schemas.openxmlformats.org/officeDocument/2006/relationships/hyperlink" Target="https://www.lonelyplanet.com/authors/meher-mirza" TargetMode="External" Id="rId29" /></Relationships>
</file>

<file path=xl/worksheets/_rels/sheet3.xml.rels><Relationships xmlns="http://schemas.openxmlformats.org/package/2006/relationships"><Relationship Type="http://schemas.openxmlformats.org/officeDocument/2006/relationships/hyperlink" Target="https://muckrack.com/jamal-shaikh/articles" TargetMode="External" Id="rId1" /><Relationship Type="http://schemas.openxmlformats.org/officeDocument/2006/relationships/hyperlink" Target="https://www.exchange4media.com/people-movement-news/rochelle-pinto-is-head-of-editorial-content-for-vogue-india-130285.html" TargetMode="External" Id="rId2" /><Relationship Type="http://schemas.openxmlformats.org/officeDocument/2006/relationships/hyperlink" Target="https://www.hearstmagazinesinternational.com/news/off-the-page-with-rasna-bhasin-editor-in-chief-of-harpers-bazaar-india/" TargetMode="External" Id="rId3" /><Relationship Type="http://schemas.openxmlformats.org/officeDocument/2006/relationships/hyperlink" Target="https://muckrack.com/che-kurrien/articles" TargetMode="External" Id="rId4" /><Relationship Type="http://schemas.openxmlformats.org/officeDocument/2006/relationships/hyperlink" Target="https://elle.in/contact-us" TargetMode="External" Id="rId5" /><Relationship Type="http://schemas.openxmlformats.org/officeDocument/2006/relationships/hyperlink" Target="https://www.exchange4media.com/media-print-news/snigdha-ahuja-appointed-as-new-editor-of-cosmopolitan-india-143224.html" TargetMode="External" Id="rId6" /><Relationship Type="http://schemas.openxmlformats.org/officeDocument/2006/relationships/hyperlink" Target="https://www.mediainfoline.com/awards/femina-beauty-awards-2026-ananya-panday-kriti-sanon-and-tamannaah-bhatia-lead-a-star-studded-night" TargetMode="External" Id="rId7" /><Relationship Type="http://schemas.openxmlformats.org/officeDocument/2006/relationships/hyperlink" Target="https://x.com/shalinimb" TargetMode="External" Id="rId8" /><Relationship Type="http://schemas.openxmlformats.org/officeDocument/2006/relationships/hyperlink" Target="https://in.linkedin.com/company/lifestyle-asia-india" TargetMode="External" Id="rId9" /><Relationship Type="http://schemas.openxmlformats.org/officeDocument/2006/relationships/hyperlink" Target="https://luxe.outlookindia.com/about-us" TargetMode="External" Id="rId10" /><Relationship Type="http://schemas.openxmlformats.org/officeDocument/2006/relationships/hyperlink" Target="https://luxe.outlookindia.com/about-us" TargetMode="External" Id="rId11" /><Relationship Type="http://schemas.openxmlformats.org/officeDocument/2006/relationships/hyperlink" Target="https://en.wikipedia.org/wiki/Verve_(Indian_magazine)" TargetMode="External" Id="rId12" /></Relationships>
</file>

<file path=xl/worksheets/_rels/sheet4.xml.rels><Relationships xmlns="http://schemas.openxmlformats.org/package/2006/relationships"><Relationship Type="http://schemas.openxmlformats.org/officeDocument/2006/relationships/hyperlink" Target="https://www.exchange4media.com/people-movement-news/ruchika-mehta-takes-additional-charge-as-editor-of-india-today-spice-158393.html" TargetMode="External" Id="rId1" /><Relationship Type="http://schemas.openxmlformats.org/officeDocument/2006/relationships/hyperlink" Target="https://www.exchange4media.com/announcements-news/sonal-kalra-to-launch-lifestyle-entertainment-news-show-142482.html" TargetMode="External" Id="rId2" /><Relationship Type="http://schemas.openxmlformats.org/officeDocument/2006/relationships/hyperlink" Target="https://www.exchange4media.com/people-movement-news/ht-city-delhi-appoints-rohit-bhatnagar-as-entertainment-editor-146845.html" TargetMode="External" Id="rId3" /><Relationship Type="http://schemas.openxmlformats.org/officeDocument/2006/relationships/hyperlink" Target="https://www.exchange4media.com/people-movement-news/sneha-menon-desai-appointed-editor-of-the-hollywood-reporter-india-158673.html" TargetMode="External" Id="rId4" /><Relationship Type="http://schemas.openxmlformats.org/officeDocument/2006/relationships/hyperlink" Target="https://www.exchange4media.com/media-print-news/bombay-times-and-mumbais-symphony-a-30-year-partnership-139634.html" TargetMode="External" Id="rId5" /><Relationship Type="http://schemas.openxmlformats.org/officeDocument/2006/relationships/hyperlink" Target="https://www.exchange4media.com/people-movement-news/gajendra-singh-bhati-joins-the-indian-express-hindi-as-entertainment-editor-154435.html" TargetMode="External" Id="rId6" /><Relationship Type="http://schemas.openxmlformats.org/officeDocument/2006/relationships/hyperlink" Target="https://www.indiatvnews.com/author/anindita-mukhopadhyay/15" TargetMode="External" Id="rId7" /></Relationships>
</file>

<file path=xl/worksheets/_rels/sheet5.xml.rels><Relationships xmlns="http://schemas.openxmlformats.org/package/2006/relationships"><Relationship Type="http://schemas.openxmlformats.org/officeDocument/2006/relationships/hyperlink" Target="https://www.forbesindia.com/author/pankti-mehta-kadakia/5205" TargetMode="External" Id="rId1" /><Relationship Type="http://schemas.openxmlformats.org/officeDocument/2006/relationships/hyperlink" Target="https://www.esquireindia.co.in/food-and-drinks/what-to-eat/robb-report-india-turns-one-with-chapter-one-the-circle-of-influence-at-fairmont-udaipur-palace" TargetMode="External" Id="rId2" /><Relationship Type="http://schemas.openxmlformats.org/officeDocument/2006/relationships/hyperlink" Target="https://www.exchange4media.com/people-movement-news/robb-report-india-appoints-shradha-shahani-as-managing-editor-145291.html" TargetMode="External" Id="rId3" /><Relationship Type="http://schemas.openxmlformats.org/officeDocument/2006/relationships/hyperlink" Target="https://muckrack.com/avantika-bhuyan/articles" TargetMode="External" Id="rId4" /><Relationship Type="http://schemas.openxmlformats.org/officeDocument/2006/relationships/hyperlink" Target="https://www.harpersbazaar.in/authors/akshaya-pillai" TargetMode="External" Id="rId5" /><Relationship Type="http://schemas.openxmlformats.org/officeDocument/2006/relationships/hyperlink" Target="https://www.pressreader.com/india/hindustan-times-st-noida/20260204/281767045655792" TargetMode="External" Id="rId6" /><Relationship Type="http://schemas.openxmlformats.org/officeDocument/2006/relationships/hyperlink" Target="https://www.scribd.com/document/977838070/Vogue-India-January-February-2026" TargetMode="External" Id="rId7" /><Relationship Type="http://schemas.openxmlformats.org/officeDocument/2006/relationships/hyperlink" Target="https://www.zinio.com/in/publications/architectural-digest-india/5361" TargetMode="External" Id="rId8" /><Relationship Type="http://schemas.openxmlformats.org/officeDocument/2006/relationships/hyperlink" Target="https://x.com/Shrabonti/status/2030894494447710494" TargetMode="External" Id="rId9" /><Relationship Type="http://schemas.openxmlformats.org/officeDocument/2006/relationships/hyperlink" Target="https://www.forbesindia.com/lists/w-power-2026" TargetMode="External" Id="rId10" /></Relationships>
</file>

<file path=xl/worksheets/_rels/sheet6.xml.rels><Relationships xmlns="http://schemas.openxmlformats.org/package/2006/relationships"><Relationship Type="http://schemas.openxmlformats.org/officeDocument/2006/relationships/hyperlink" Target="https://theprint.in/author/fareeha-iftikhar/" TargetMode="External" Id="rId1" /><Relationship Type="http://schemas.openxmlformats.org/officeDocument/2006/relationships/hyperlink" Target="https://journalarta.com/news/2026/06/29/manash-pratim-gohain-liputan-nep-2020/?all=1" TargetMode="External" Id="rId2" /><Relationship Type="http://schemas.openxmlformats.org/officeDocument/2006/relationships/hyperlink" Target="https://theorg.com/org/the-times-of-india/org-chart/priyanka-srivastava" TargetMode="External" Id="rId3" /><Relationship Type="http://schemas.openxmlformats.org/officeDocument/2006/relationships/hyperlink" Target="https://muckrack.com/rajlakshmi-ghosh/articles" TargetMode="External" Id="rId4" /><Relationship Type="http://schemas.openxmlformats.org/officeDocument/2006/relationships/hyperlink" Target="https://muckrack.com/sonal-srivastava" TargetMode="External" Id="rId5" /><Relationship Type="http://schemas.openxmlformats.org/officeDocument/2006/relationships/hyperlink" Target="https://muckrack.com/neeti-nigam/articles" TargetMode="External" Id="rId6" /><Relationship Type="http://schemas.openxmlformats.org/officeDocument/2006/relationships/hyperlink" Target="https://muckrack.com/deeksha-teri/articles" TargetMode="External" Id="rId7" /><Relationship Type="http://schemas.openxmlformats.org/officeDocument/2006/relationships/hyperlink" Target="https://muckrack.com/prachivermaet/articles" TargetMode="External" Id="rId8" /><Relationship Type="http://schemas.openxmlformats.org/officeDocument/2006/relationships/hyperlink" Target="https://muckrack.com/abhishek-sahu-2/articles" TargetMode="External" Id="rId9" /><Relationship Type="http://schemas.openxmlformats.org/officeDocument/2006/relationships/hyperlink" Target="https://muckrack.com/puniti-pandey/articles" TargetMode="External" Id="rId10" /><Relationship Type="http://schemas.openxmlformats.org/officeDocument/2006/relationships/hyperlink" Target="https://intelligentrelations.com/journalist/sukanya-nandy/" TargetMode="External" Id="rId11" /><Relationship Type="http://schemas.openxmlformats.org/officeDocument/2006/relationships/hyperlink" Target="https://buzzsumo.com/journalist/vatsala-shrangi-92753796/" TargetMode="External" Id="rId12" /><Relationship Type="http://schemas.openxmlformats.org/officeDocument/2006/relationships/hyperlink" Target="http://bweducation.businessworld.in/author/BW-Reporters/Upasana-87081/" TargetMode="External" Id="rId13" /><Relationship Type="http://schemas.openxmlformats.org/officeDocument/2006/relationships/hyperlink" Target="https://muckrack.com/media-outlet/livemint" TargetMode="External" Id="rId14" /><Relationship Type="http://schemas.openxmlformats.org/officeDocument/2006/relationships/hyperlink" Target="https://news.careers360.com/author/sakshi-gupta" TargetMode="External" Id="rId15" /><Relationship Type="http://schemas.openxmlformats.org/officeDocument/2006/relationships/hyperlink" Target="https://www.indiatvnews.com/author/nidhi-mittal" TargetMode="External" Id="rId16" /><Relationship Type="http://schemas.openxmlformats.org/officeDocument/2006/relationships/hyperlink" Target="https://muckrack.com/smarica-pant" TargetMode="External" Id="rId17" /><Relationship Type="http://schemas.openxmlformats.org/officeDocument/2006/relationships/hyperlink" Target="https://www.linkedin.com/in/apoorva-anand-5b640046/" TargetMode="External" Id="rId18" /><Relationship Type="http://schemas.openxmlformats.org/officeDocument/2006/relationships/hyperlink" Target="https://theprint.in/author/kritika-sharma/" TargetMode="External" Id="rId19" /><Relationship Type="http://schemas.openxmlformats.org/officeDocument/2006/relationships/hyperlink" Target="https://www.linkedin.com/in/geetu-vaid-05a926b4/" TargetMode="External" Id="rId20" /></Relationships>
</file>

<file path=xl/worksheets/_rels/sheet7.xml.rels><Relationships xmlns="http://schemas.openxmlformats.org/package/2006/relationships"><Relationship Type="http://schemas.openxmlformats.org/officeDocument/2006/relationships/hyperlink" Target="https://www.linkedin.com/in/aasheesh-sharma/" TargetMode="External" Id="rId1" /><Relationship Type="http://schemas.openxmlformats.org/officeDocument/2006/relationships/hyperlink" Target="https://x.com/Shrabonti/status/2030894494447710494" TargetMode="External" Id="rId2" /><Relationship Type="http://schemas.openxmlformats.org/officeDocument/2006/relationships/hyperlink" Target="https://theprint.in/author/fareeha-iftikhar/" TargetMode="External" Id="rId3" /><Relationship Type="http://schemas.openxmlformats.org/officeDocument/2006/relationships/hyperlink" Target="https://muckrack.com/abhishek-sahu-2/articles" TargetMode="External" Id="rId4" /><Relationship Type="http://schemas.openxmlformats.org/officeDocument/2006/relationships/hyperlink" Target="https://news.careers360.com/author/sakshi-gupta" TargetMode="External" Id="rId5" /><Relationship Type="http://schemas.openxmlformats.org/officeDocument/2006/relationships/hyperlink" Target="https://www.linkedin.com/in/saurav-pandey-1083b8221/" TargetMode="External" Id="rId6" /><Relationship Type="http://schemas.openxmlformats.org/officeDocument/2006/relationships/hyperlink" Target="https://muckrack.com/shreya-mundhra/bio" TargetMode="External" Id="rId7" /><Relationship Type="http://schemas.openxmlformats.org/officeDocument/2006/relationships/hyperlink" Target="https://www.linkedin.com/in/danita-yadav/" TargetMode="External" Id="rId8" /><Relationship Type="http://schemas.openxmlformats.org/officeDocument/2006/relationships/hyperlink" Target="https://www.exchange4media.com/experiential-marketing-news/monika-rawal-joins-times-internet-as-consulting-editor-events-and-special-projects-146470.html" TargetMode="External" Id="rId9" /><Relationship Type="http://schemas.openxmlformats.org/officeDocument/2006/relationships/hyperlink" Target="https://elle.in/contact-us" TargetMode="External" Id="rId10" /><Relationship Type="http://schemas.openxmlformats.org/officeDocument/2006/relationships/hyperlink" Target="https://www.exchange4media.com/people-movement-news/ruchika-mehta-takes-additional-charge-as-editor-of-india-today-spice-158393.html" TargetMode="External" Id="rId11" /><Relationship Type="http://schemas.openxmlformats.org/officeDocument/2006/relationships/hyperlink" Target="https://muckrack.com/puniti-pandey/articles" TargetMode="External" Id="rId12" /></Relationships>
</file>

<file path=xl/worksheets/sheet1.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8" customWidth="1" min="1" max="1"/>
    <col width="110" customWidth="1" min="2" max="2"/>
    <col width="18" customWidth="1" min="3" max="3"/>
    <col width="18" customWidth="1" min="4" max="4"/>
    <col width="18" customWidth="1" min="5" max="5"/>
    <col width="18" customWidth="1" min="6" max="6"/>
  </cols>
  <sheetData>
    <row r="1">
      <c r="A1" s="1" t="inlineStr">
        <is>
          <t>Target Media List (TML): October 2026</t>
        </is>
      </c>
    </row>
    <row r="3">
      <c r="A3" s="2" t="inlineStr">
        <is>
          <t>Prepared</t>
        </is>
      </c>
      <c r="B3" s="3" t="inlineStr">
        <is>
          <t>4 Oct 2026, from online research plus the media lists in this repository.</t>
        </is>
      </c>
    </row>
    <row r="4">
      <c r="A4" s="2" t="inlineStr">
        <is>
          <t>Scope</t>
        </is>
      </c>
      <c r="B4" s="3" t="inlineStr">
        <is>
          <t>Alcobev + F&amp;B (Six Brothers, DeVANS, Mast Banarasi Paan); Lifestyle; Celebrity &amp; Society; Devyani Jaipuria (luxury, art, business profile); DHS Gurugram (Delhi NCR education).</t>
        </is>
      </c>
    </row>
    <row r="5">
      <c r="A5" s="2" t="inlineStr">
        <is>
          <t>Method</t>
        </is>
      </c>
      <c r="B5" s="3" t="inlineStr">
        <is>
          <t>Each name was checked online for a current role at the outlet and recent work on the same beat (2026 bylines, mastheads, appointment notices). Phone and email were taken only from the existing lists in this repo, never guessed.</t>
        </is>
      </c>
    </row>
    <row r="6">
      <c r="A6" s="2" t="inlineStr">
        <is>
          <t>Contacts</t>
        </is>
      </c>
      <c r="B6" s="3" t="inlineStr">
        <is>
          <t>Blank phone or email means the person is not in your lists. Source contacts via your PR database or LinkedIn. Emails tied to an old employer were removed and are listed on the 'Moved - Do Not Use' tab.</t>
        </is>
      </c>
    </row>
    <row r="7">
      <c r="A7" s="2" t="inlineStr">
        <is>
          <t>Limits</t>
        </is>
      </c>
      <c r="B7" s="3" t="inlineStr">
        <is>
          <t>Publisher websites could not be opened directly from this environment, so verification relied on search results (author pages, Muck Rack, LinkedIn, trade press). Rows marked 'To confirm' need a quick call or email check before pitching.</t>
        </is>
      </c>
    </row>
    <row r="8">
      <c r="A8" s="2" t="inlineStr">
        <is>
          <t>Gaps</t>
        </is>
      </c>
      <c r="B8" s="3" t="inlineStr">
        <is>
          <t>No named Delhi Times (TOI) society writer or HT Gurugram schools reporter could be confirmed online; worth sourcing through your network.</t>
        </is>
      </c>
    </row>
    <row r="10">
      <c r="A10" s="4" t="inlineStr">
        <is>
          <t>Verification status</t>
        </is>
      </c>
    </row>
    <row r="11">
      <c r="A11" s="5" t="inlineStr">
        <is>
          <t>Verified - active 2026</t>
        </is>
      </c>
      <c r="B11" s="6" t="inlineStr">
        <is>
          <t>A 2026-dated byline, column, appointment or public appearance at this outlet on this beat.</t>
        </is>
      </c>
    </row>
    <row r="12">
      <c r="A12" s="7" t="inlineStr">
        <is>
          <t>Verified - current role</t>
        </is>
      </c>
      <c r="B12" s="6" t="inlineStr">
        <is>
          <t>Current role confirmed by masthead, profile or appointment notice; no 2026-dated byline found.</t>
        </is>
      </c>
    </row>
    <row r="13">
      <c r="A13" s="8" t="inlineStr">
        <is>
          <t>To confirm</t>
        </is>
      </c>
      <c r="B13" s="6" t="inlineStr">
        <is>
          <t>Partial or older evidence only. Confirm before pitching.</t>
        </is>
      </c>
    </row>
    <row r="14">
      <c r="A14" s="9" t="inlineStr">
        <is>
          <t>Moved - updated</t>
        </is>
      </c>
      <c r="B14" s="6" t="inlineStr">
        <is>
          <t>Your lists had this person at another outlet or desk; the row shows the current one.</t>
        </is>
      </c>
    </row>
    <row r="17">
      <c r="A17" s="4" t="inlineStr">
        <is>
          <t>Summary</t>
        </is>
      </c>
    </row>
    <row r="18">
      <c r="A18" s="10" t="inlineStr">
        <is>
          <t>Tab</t>
        </is>
      </c>
      <c r="B18" s="10" t="inlineStr">
        <is>
          <t>Total</t>
        </is>
      </c>
      <c r="C18" s="10" t="inlineStr">
        <is>
          <t>Verified - active 2026</t>
        </is>
      </c>
      <c r="D18" s="10" t="inlineStr">
        <is>
          <t>Verified - current role</t>
        </is>
      </c>
      <c r="E18" s="10" t="inlineStr">
        <is>
          <t>To confirm</t>
        </is>
      </c>
      <c r="F18" s="10" t="inlineStr">
        <is>
          <t>Moved - updated</t>
        </is>
      </c>
    </row>
    <row r="19">
      <c r="A19" s="11" t="inlineStr">
        <is>
          <t>Alcobev + F&amp;B</t>
        </is>
      </c>
      <c r="B19" s="11">
        <f>COUNTA('Alcobev + F&amp;B'!$B$5:$B$33)</f>
        <v/>
      </c>
      <c r="C19" s="11">
        <f>COUNTIF('Alcobev + F&amp;B'!$J$5:$J$33,"Verified - active 2026")</f>
        <v/>
      </c>
      <c r="D19" s="11">
        <f>COUNTIF('Alcobev + F&amp;B'!$J$5:$J$33,"Verified - current role")</f>
        <v/>
      </c>
      <c r="E19" s="11">
        <f>COUNTIF('Alcobev + F&amp;B'!$J$5:$J$33,"To confirm")</f>
        <v/>
      </c>
      <c r="F19" s="11">
        <f>COUNTIF('Alcobev + F&amp;B'!$J$5:$J$33,"Moved - updated")</f>
        <v/>
      </c>
    </row>
    <row r="20">
      <c r="A20" s="11" t="inlineStr">
        <is>
          <t>Lifestyle</t>
        </is>
      </c>
      <c r="B20" s="11">
        <f>COUNTA('Lifestyle'!$B$5:$B$16)</f>
        <v/>
      </c>
      <c r="C20" s="11">
        <f>COUNTIF('Lifestyle'!$J$5:$J$16,"Verified - active 2026")</f>
        <v/>
      </c>
      <c r="D20" s="11">
        <f>COUNTIF('Lifestyle'!$J$5:$J$16,"Verified - current role")</f>
        <v/>
      </c>
      <c r="E20" s="11">
        <f>COUNTIF('Lifestyle'!$J$5:$J$16,"To confirm")</f>
        <v/>
      </c>
      <c r="F20" s="11">
        <f>COUNTIF('Lifestyle'!$J$5:$J$16,"Moved - updated")</f>
        <v/>
      </c>
    </row>
    <row r="21">
      <c r="A21" s="11" t="inlineStr">
        <is>
          <t>Celebrity &amp; Society</t>
        </is>
      </c>
      <c r="B21" s="11">
        <f>COUNTA('Celebrity &amp; Society'!$B$5:$B$11)</f>
        <v/>
      </c>
      <c r="C21" s="11">
        <f>COUNTIF('Celebrity &amp; Society'!$J$5:$J$11,"Verified - active 2026")</f>
        <v/>
      </c>
      <c r="D21" s="11">
        <f>COUNTIF('Celebrity &amp; Society'!$J$5:$J$11,"Verified - current role")</f>
        <v/>
      </c>
      <c r="E21" s="11">
        <f>COUNTIF('Celebrity &amp; Society'!$J$5:$J$11,"To confirm")</f>
        <v/>
      </c>
      <c r="F21" s="11">
        <f>COUNTIF('Celebrity &amp; Society'!$J$5:$J$11,"Moved - updated")</f>
        <v/>
      </c>
    </row>
    <row r="22">
      <c r="A22" s="11" t="inlineStr">
        <is>
          <t>Devyani - Luxury, Art, Biz</t>
        </is>
      </c>
      <c r="B22" s="11">
        <f>COUNTA('Devyani - Luxury, Art, Biz'!$B$5:$B$14)</f>
        <v/>
      </c>
      <c r="C22" s="11">
        <f>COUNTIF('Devyani - Luxury, Art, Biz'!$J$5:$J$14,"Verified - active 2026")</f>
        <v/>
      </c>
      <c r="D22" s="11">
        <f>COUNTIF('Devyani - Luxury, Art, Biz'!$J$5:$J$14,"Verified - current role")</f>
        <v/>
      </c>
      <c r="E22" s="11">
        <f>COUNTIF('Devyani - Luxury, Art, Biz'!$J$5:$J$14,"To confirm")</f>
        <v/>
      </c>
      <c r="F22" s="11">
        <f>COUNTIF('Devyani - Luxury, Art, Biz'!$J$5:$J$14,"Moved - updated")</f>
        <v/>
      </c>
    </row>
    <row r="23">
      <c r="A23" s="11" t="inlineStr">
        <is>
          <t>DHS - Delhi NCR Education</t>
        </is>
      </c>
      <c r="B23" s="11">
        <f>COUNTA('DHS - Delhi NCR Education'!$B$5:$B$27)</f>
        <v/>
      </c>
      <c r="C23" s="11">
        <f>COUNTIF('DHS - Delhi NCR Education'!$J$5:$J$27,"Verified - active 2026")</f>
        <v/>
      </c>
      <c r="D23" s="11">
        <f>COUNTIF('DHS - Delhi NCR Education'!$J$5:$J$27,"Verified - current role")</f>
        <v/>
      </c>
      <c r="E23" s="11">
        <f>COUNTIF('DHS - Delhi NCR Education'!$J$5:$J$27,"To confirm")</f>
        <v/>
      </c>
      <c r="F23" s="11">
        <f>COUNTIF('DHS - Delhi NCR Education'!$J$5:$J$27,"Moved - updated")</f>
        <v/>
      </c>
    </row>
    <row r="24">
      <c r="A24" s="12" t="inlineStr">
        <is>
          <t>Total</t>
        </is>
      </c>
      <c r="B24" s="12">
        <f>SUM(B19:B23)</f>
        <v/>
      </c>
      <c r="C24" s="12">
        <f>SUM(C19:C23)</f>
        <v/>
      </c>
      <c r="D24" s="12">
        <f>SUM(D19:D23)</f>
        <v/>
      </c>
      <c r="E24" s="12">
        <f>SUM(E19:E23)</f>
        <v/>
      </c>
      <c r="F24" s="12">
        <f>SUM(F19:F23)</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s>
  <sheetData>
    <row r="1">
      <c r="A1" s="1" t="inlineStr">
        <is>
          <t>Alcobev + F&amp;B</t>
        </is>
      </c>
    </row>
    <row r="2">
      <c r="A2" s="13" t="inlineStr">
        <is>
          <t>Alcobev, spirits, bars and F&amp;B business journalists. Brands: Six Brothers Distilleries (mahua), DeVANS Modern Breweries, Mast Banarasi Paan.</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row>
    <row r="5">
      <c r="A5" s="6" t="n">
        <v>1</v>
      </c>
      <c r="B5" s="6" t="inlineStr">
        <is>
          <t>Bishan Kumar</t>
        </is>
      </c>
      <c r="C5" s="6" t="inlineStr">
        <is>
          <t>Editor-in-Chief</t>
        </is>
      </c>
      <c r="D5" s="6" t="inlineStr">
        <is>
          <t>Spiritz Magazine (Blue Ink Media)</t>
        </is>
      </c>
      <c r="E5" s="6" t="inlineStr">
        <is>
          <t>Alcobev trade: spirits, beer, bars, hospitality</t>
        </is>
      </c>
      <c r="F5" s="6" t="inlineStr">
        <is>
          <t>New Delhi</t>
        </is>
      </c>
      <c r="G5" s="6" t="n"/>
      <c r="H5" s="6" t="n"/>
      <c r="I5" s="6" t="inlineStr">
        <is>
          <t>Not in lists</t>
        </is>
      </c>
      <c r="J5" s="14" t="inlineStr">
        <is>
          <t>Verified - current role</t>
        </is>
      </c>
      <c r="K5" s="6" t="inlineStr">
        <is>
          <t>Listed as Editor-in-Chief on company directory (spiritz.in domain)</t>
        </is>
      </c>
      <c r="L5" s="15" t="inlineStr">
        <is>
          <t>https://www.zoominfo.com/p/Bishan-Kumar/9350175409</t>
        </is>
      </c>
      <c r="M5" s="6" t="inlineStr">
        <is>
          <t>Specialist alcobev trade title. Fit: Six Brothers (mahua revival), DeVANS launches and awards.</t>
        </is>
      </c>
    </row>
    <row r="6">
      <c r="A6" s="6" t="n">
        <v>2</v>
      </c>
      <c r="B6" s="6" t="inlineStr">
        <is>
          <t>Rajesh Kumar Chaubey</t>
        </is>
      </c>
      <c r="C6" s="6" t="inlineStr">
        <is>
          <t>Chief Editor</t>
        </is>
      </c>
      <c r="D6" s="6" t="inlineStr">
        <is>
          <t>Aabkari Times</t>
        </is>
      </c>
      <c r="E6" s="6" t="inlineStr">
        <is>
          <t>Excise policy and alcobev industry (Hindi/English monthly)</t>
        </is>
      </c>
      <c r="F6" s="6" t="inlineStr">
        <is>
          <t>Prayagraj</t>
        </is>
      </c>
      <c r="G6" s="6" t="n"/>
      <c r="H6" s="6" t="n"/>
      <c r="I6" s="6" t="inlineStr">
        <is>
          <t>Not in lists</t>
        </is>
      </c>
      <c r="J6" s="14" t="inlineStr">
        <is>
          <t>Verified - current role</t>
        </is>
      </c>
      <c r="K6" s="6" t="inlineStr">
        <is>
          <t>Named Chief Editor on editorial policy page; site publishing in 2026 (Mar 2026 article)</t>
        </is>
      </c>
      <c r="L6" s="15" t="inlineStr">
        <is>
          <t>https://aabkaritimes.com/editorial-policy/</t>
        </is>
      </c>
      <c r="M6" s="6" t="inlineStr">
        <is>
          <t>Fit: DeVANS (policy, state markets), mahua heritage-liquor policy angle.</t>
        </is>
      </c>
    </row>
    <row r="7">
      <c r="A7" s="6" t="n">
        <v>3</v>
      </c>
      <c r="B7" s="6" t="inlineStr">
        <is>
          <t>Prem Shankar Mishra</t>
        </is>
      </c>
      <c r="C7" s="6" t="inlineStr">
        <is>
          <t>Founder and Managing Editor</t>
        </is>
      </c>
      <c r="D7" s="6" t="inlineStr">
        <is>
          <t>Aabkari Times</t>
        </is>
      </c>
      <c r="E7" s="6" t="inlineStr">
        <is>
          <t>Excise policy and alcobev industry</t>
        </is>
      </c>
      <c r="F7" s="6" t="inlineStr">
        <is>
          <t>Prayagraj</t>
        </is>
      </c>
      <c r="G7" s="6" t="n"/>
      <c r="H7" s="6" t="n"/>
      <c r="I7" s="6" t="inlineStr">
        <is>
          <t>Not in lists</t>
        </is>
      </c>
      <c r="J7" s="14" t="inlineStr">
        <is>
          <t>Verified - current role</t>
        </is>
      </c>
      <c r="K7" s="6" t="inlineStr">
        <is>
          <t>Founder and Managing Editor per masthead and LinkedIn</t>
        </is>
      </c>
      <c r="L7" s="15" t="inlineStr">
        <is>
          <t>https://www.linkedin.com/in/ps-mishra-772a0328/</t>
        </is>
      </c>
      <c r="M7" s="6" t="inlineStr">
        <is>
          <t>Same outlet as above; pitch one of the two, not both.</t>
        </is>
      </c>
    </row>
    <row r="8">
      <c r="A8" s="6" t="n">
        <v>4</v>
      </c>
      <c r="B8" s="6" t="inlineStr">
        <is>
          <t>Aneeka Chatterjee</t>
        </is>
      </c>
      <c r="C8" s="6" t="inlineStr">
        <is>
          <t>Correspondent</t>
        </is>
      </c>
      <c r="D8" s="6" t="inlineStr">
        <is>
          <t>Business Standard</t>
        </is>
      </c>
      <c r="E8" s="6" t="inlineStr">
        <is>
          <t>Consumer, FMCG and alcobev business</t>
        </is>
      </c>
      <c r="F8" s="6" t="inlineStr">
        <is>
          <t>Bengaluru</t>
        </is>
      </c>
      <c r="G8" s="6" t="inlineStr">
        <is>
          <t>8240053834</t>
        </is>
      </c>
      <c r="H8" s="6" t="inlineStr">
        <is>
          <t>aneeka.chatterjee@bsmail.in</t>
        </is>
      </c>
      <c r="I8" s="6" t="inlineStr">
        <is>
          <t>Anna's Health Media List; NH Media list</t>
        </is>
      </c>
      <c r="J8" s="16" t="inlineStr">
        <is>
          <t>Verified - active 2026</t>
        </is>
      </c>
      <c r="K8" s="6" t="inlineStr">
        <is>
          <t>Byline: 'Results preview: Alcobev industry growth may have cooled in Q3FY26' (15 Jan 2026)</t>
        </is>
      </c>
      <c r="L8" s="15" t="inlineStr">
        <is>
          <t>https://www.business-standard.com/industry/news/results-preview-alcobev-industry-growth-may-have-cooled-in-q3fy26-126011501168_1.html</t>
        </is>
      </c>
      <c r="M8" s="6" t="inlineStr">
        <is>
          <t>Business-side alcobev. Fit: DeVANS, Six Brothers once founders are confirmed.</t>
        </is>
      </c>
    </row>
    <row r="9">
      <c r="A9" s="6" t="n">
        <v>5</v>
      </c>
      <c r="B9" s="6" t="inlineStr">
        <is>
          <t>Akshara Srivastava</t>
        </is>
      </c>
      <c r="C9" s="6" t="inlineStr">
        <is>
          <t>Correspondent (consumption beat)</t>
        </is>
      </c>
      <c r="D9" s="6" t="inlineStr">
        <is>
          <t>Business Standard</t>
        </is>
      </c>
      <c r="E9" s="6" t="inlineStr">
        <is>
          <t>FMCG, beverages, retail, luxury, hospitality</t>
        </is>
      </c>
      <c r="F9" s="6" t="inlineStr">
        <is>
          <t>New Delhi</t>
        </is>
      </c>
      <c r="G9" s="6" t="n"/>
      <c r="H9" s="6" t="n"/>
      <c r="I9" s="6" t="inlineStr">
        <is>
          <t>Not in lists</t>
        </is>
      </c>
      <c r="J9" s="16" t="inlineStr">
        <is>
          <t>Verified - active 2026</t>
        </is>
      </c>
      <c r="K9" s="6" t="inlineStr">
        <is>
          <t>Author page shows 2026 stories on FMCG, beverages, premiumisation</t>
        </is>
      </c>
      <c r="L9" s="15" t="inlineStr">
        <is>
          <t>https://www.business-standard.com/author/akshara-srivastava/page-2</t>
        </is>
      </c>
      <c r="M9" s="6" t="inlineStr">
        <is>
          <t>Fit: Mast Banarasi Paan (organised F&amp;B, fundraise), alcobev premiumisation.</t>
        </is>
      </c>
    </row>
    <row r="10">
      <c r="A10" s="6" t="n">
        <v>6</v>
      </c>
      <c r="B10" s="6" t="inlineStr">
        <is>
          <t>Suneera Tandon</t>
        </is>
      </c>
      <c r="C10" s="6" t="inlineStr">
        <is>
          <t>Reporter</t>
        </is>
      </c>
      <c r="D10" s="6" t="inlineStr">
        <is>
          <t>Mint</t>
        </is>
      </c>
      <c r="E10" s="6" t="inlineStr">
        <is>
          <t>Consumer goods, retail, food and beverages</t>
        </is>
      </c>
      <c r="F10" s="6" t="inlineStr">
        <is>
          <t>New Delhi</t>
        </is>
      </c>
      <c r="G10" s="6" t="inlineStr">
        <is>
          <t>9810445443</t>
        </is>
      </c>
      <c r="H10" s="6" t="inlineStr">
        <is>
          <t>suneera.tandon@livemint.com; suneera.t@htlive.com</t>
        </is>
      </c>
      <c r="I10" s="6" t="inlineStr">
        <is>
          <t>A &amp; M Media List; Sports Media List PDF</t>
        </is>
      </c>
      <c r="J10" s="16" t="inlineStr">
        <is>
          <t>Verified - active 2026</t>
        </is>
      </c>
      <c r="K10" s="6" t="inlineStr">
        <is>
          <t>2026 Mint bylines incl. 'India's FMCG sector is entering 2026 betting on volumes, not prices'</t>
        </is>
      </c>
      <c r="L10" s="15" t="inlineStr">
        <is>
          <t>https://muckrack.com/suneera-tandon</t>
        </is>
      </c>
      <c r="M10" s="6" t="inlineStr">
        <is>
          <t>Fit: Mast Banarasi Paan INR 50 cr FY27 and fundraise story; alcobev business.</t>
        </is>
      </c>
    </row>
    <row r="11">
      <c r="A11" s="6" t="n">
        <v>7</v>
      </c>
      <c r="B11" s="6" t="inlineStr">
        <is>
          <t>Tarannum Manjul</t>
        </is>
      </c>
      <c r="C11" s="6" t="inlineStr">
        <is>
          <t>Writer (designation to confirm)</t>
        </is>
      </c>
      <c r="D11" s="6" t="inlineStr">
        <is>
          <t>BW Retail World (BW Businessworld)</t>
        </is>
      </c>
      <c r="E11" s="6" t="inlineStr">
        <is>
          <t>Food and beverage, alcobev retail</t>
        </is>
      </c>
      <c r="F11" s="6" t="inlineStr">
        <is>
          <t>New Delhi</t>
        </is>
      </c>
      <c r="G11" s="6" t="n"/>
      <c r="H11" s="6" t="n"/>
      <c r="I11" s="6" t="inlineStr">
        <is>
          <t>Not in lists</t>
        </is>
      </c>
      <c r="J11" s="16" t="inlineStr">
        <is>
          <t>Verified - active 2026</t>
        </is>
      </c>
      <c r="K11" s="6" t="inlineStr">
        <is>
          <t>Byline: 'India Alcobev Trends 2026: Premiumisation, Moderation, Reform'</t>
        </is>
      </c>
      <c r="L11" s="15" t="inlineStr">
        <is>
          <t>https://bwretailworld.com/food-beverage/india-alcobev-trends-2026-premiumisation-moderation-reform</t>
        </is>
      </c>
      <c r="M11" s="6" t="inlineStr">
        <is>
          <t>Fit: DeVANS, Six Brothers, Mast Banarasi Paan (F&amp;B retail).</t>
        </is>
      </c>
    </row>
    <row r="12">
      <c r="A12" s="6" t="n">
        <v>8</v>
      </c>
      <c r="B12" s="6" t="inlineStr">
        <is>
          <t>Alka Jain</t>
        </is>
      </c>
      <c r="C12" s="6" t="inlineStr">
        <is>
          <t>Journalist</t>
        </is>
      </c>
      <c r="D12" s="6" t="inlineStr">
        <is>
          <t>Outlook Business</t>
        </is>
      </c>
      <c r="E12" s="6" t="inlineStr">
        <is>
          <t>Industry, alcobev market</t>
        </is>
      </c>
      <c r="F12" s="6" t="inlineStr">
        <is>
          <t>New Delhi</t>
        </is>
      </c>
      <c r="G12" s="6" t="n"/>
      <c r="H12" s="6" t="n"/>
      <c r="I12" s="6" t="inlineStr">
        <is>
          <t>Real Estate Media List (name only, no contact)</t>
        </is>
      </c>
      <c r="J12" s="17" t="inlineStr">
        <is>
          <t>To confirm</t>
        </is>
      </c>
      <c r="K12" s="6" t="inlineStr">
        <is>
          <t>Byline: 'India's Alcobev Market Splits Into A K-Shaped Growth Story' (date to confirm)</t>
        </is>
      </c>
      <c r="L12" s="15" t="inlineStr">
        <is>
          <t>https://www.outlookbusiness.com/industry/indias-alcobev-market-splits-into-a-k-shaped-growth-story</t>
        </is>
      </c>
      <c r="M12" s="6" t="inlineStr">
        <is>
          <t>Your list has her as Outlook Publishing Senior Subeditor with no contact.</t>
        </is>
      </c>
    </row>
    <row r="13">
      <c r="A13" s="6" t="n">
        <v>9</v>
      </c>
      <c r="B13" s="6" t="inlineStr">
        <is>
          <t>Saptopriya Ghosal</t>
        </is>
      </c>
      <c r="C13" s="6" t="inlineStr">
        <is>
          <t>Junior Writer</t>
        </is>
      </c>
      <c r="D13" s="6" t="inlineStr">
        <is>
          <t>Restaurant India (Franchise India Media)</t>
        </is>
      </c>
      <c r="E13" s="6" t="inlineStr">
        <is>
          <t>Spirits, whisky, bars, F&amp;B</t>
        </is>
      </c>
      <c r="F13" s="6" t="inlineStr">
        <is>
          <t>New Delhi</t>
        </is>
      </c>
      <c r="G13" s="6" t="n"/>
      <c r="H13" s="6" t="n"/>
      <c r="I13" s="6" t="inlineStr">
        <is>
          <t>Not in lists</t>
        </is>
      </c>
      <c r="J13" s="16" t="inlineStr">
        <is>
          <t>Verified - active 2026</t>
        </is>
      </c>
      <c r="K13" s="6" t="inlineStr">
        <is>
          <t>Byline: '7 Indian Spirits Most Drinkers Outside India Have Never Heard Of' (8 Sep 2026), covers mahua</t>
        </is>
      </c>
      <c r="L13" s="15" t="inlineStr">
        <is>
          <t>https://www.restaurantindia.in/article/7-indian-spirits-most-drinkers-outside-india-have-never-heard-of.17178</t>
        </is>
      </c>
      <c r="M13" s="6" t="inlineStr">
        <is>
          <t>Strong fit: Six Brothers mahua heritage angle; DeVANS whisky/beer.</t>
        </is>
      </c>
    </row>
    <row r="14">
      <c r="A14" s="6" t="n">
        <v>10</v>
      </c>
      <c r="B14" s="6" t="inlineStr">
        <is>
          <t>Vijetha Iyer</t>
        </is>
      </c>
      <c r="C14" s="6" t="inlineStr">
        <is>
          <t>Writer</t>
        </is>
      </c>
      <c r="D14" s="6" t="inlineStr">
        <is>
          <t>Restaurant India (Franchise India Media)</t>
        </is>
      </c>
      <c r="E14" s="6" t="inlineStr">
        <is>
          <t>Bars, cocktail culture</t>
        </is>
      </c>
      <c r="F14" s="6" t="inlineStr">
        <is>
          <t>New Delhi</t>
        </is>
      </c>
      <c r="G14" s="6" t="n"/>
      <c r="H14" s="6" t="n"/>
      <c r="I14" s="6" t="inlineStr">
        <is>
          <t>Not in lists</t>
        </is>
      </c>
      <c r="J14" s="16" t="inlineStr">
        <is>
          <t>Verified - active 2026</t>
        </is>
      </c>
      <c r="K14" s="6" t="inlineStr">
        <is>
          <t>Byline: 'How India's Cocktail Culture is Redefining the Modern Bar Experience' (23 Jul 2026)</t>
        </is>
      </c>
      <c r="L14" s="15" t="inlineStr">
        <is>
          <t>https://www.restaurantindia.in/article/how-indias-cocktail-culture-is-redefining-the-modern-bar-experience.16809</t>
        </is>
      </c>
      <c r="M14" s="6" t="inlineStr">
        <is>
          <t>Fit: Six Brothers (mahua in cocktails), DeVANS gin/RTD.</t>
        </is>
      </c>
    </row>
    <row r="15">
      <c r="A15" s="6" t="n">
        <v>11</v>
      </c>
      <c r="B15" s="6" t="inlineStr">
        <is>
          <t>Ritu Marya</t>
        </is>
      </c>
      <c r="C15" s="6" t="inlineStr">
        <is>
          <t>Editor-in-Chief</t>
        </is>
      </c>
      <c r="D15" s="6" t="inlineStr">
        <is>
          <t>Franchise India Media (Entrepreneur India, Restaurant India, Indian Retailer)</t>
        </is>
      </c>
      <c r="E15" s="6" t="inlineStr">
        <is>
          <t>F&amp;B business, franchising, restaurants</t>
        </is>
      </c>
      <c r="F15" s="6" t="inlineStr">
        <is>
          <t>New Delhi</t>
        </is>
      </c>
      <c r="G15" s="6" t="n"/>
      <c r="H15" s="6" t="n"/>
      <c r="I15" s="6" t="inlineStr">
        <is>
          <t>Not in lists</t>
        </is>
      </c>
      <c r="J15" s="14" t="inlineStr">
        <is>
          <t>Verified - current role</t>
        </is>
      </c>
      <c r="K15" s="6" t="inlineStr">
        <is>
          <t>Leads editorial for Entrepreneur India, restaurantindia.in, indianretailer.com</t>
        </is>
      </c>
      <c r="L15" s="15" t="inlineStr">
        <is>
          <t>https://www.franchiseindia.com/insights/en/news/indian-restaurant-congress-goes-global-with-first-international-edition-in-london.58927</t>
        </is>
      </c>
      <c r="M15" s="6" t="inlineStr">
        <is>
          <t>Fit: Mast Banarasi Paan founder profile, franchise-led growth.</t>
        </is>
      </c>
    </row>
    <row r="16">
      <c r="A16" s="6" t="n">
        <v>12</v>
      </c>
      <c r="B16" s="6" t="inlineStr">
        <is>
          <t>Himanshi Kaushik</t>
        </is>
      </c>
      <c r="C16" s="6" t="inlineStr">
        <is>
          <t>News Writer</t>
        </is>
      </c>
      <c r="D16" s="6" t="inlineStr">
        <is>
          <t>FranchiseTV / Indian Retailer</t>
        </is>
      </c>
      <c r="E16" s="6" t="inlineStr">
        <is>
          <t>F&amp;B and franchise brands</t>
        </is>
      </c>
      <c r="F16" s="6" t="inlineStr">
        <is>
          <t>New Delhi</t>
        </is>
      </c>
      <c r="G16" s="6" t="n"/>
      <c r="H16" s="6" t="n"/>
      <c r="I16" s="6" t="inlineStr">
        <is>
          <t>Not in lists</t>
        </is>
      </c>
      <c r="J16" s="16" t="inlineStr">
        <is>
          <t>Verified - active 2026</t>
        </is>
      </c>
      <c r="K16" s="6" t="inlineStr">
        <is>
          <t>2026 bylines on food franchise trends (FranchiseTV)</t>
        </is>
      </c>
      <c r="L16" s="15" t="inlineStr">
        <is>
          <t>https://indianretailer.com/franchisetv/author/himanshi-kaushik</t>
        </is>
      </c>
      <c r="M16" s="6" t="inlineStr">
        <is>
          <t>Fit: Mast Banarasi Paan (outlet already covered its 600-store plan).</t>
        </is>
      </c>
    </row>
    <row r="17">
      <c r="A17" s="6" t="n">
        <v>13</v>
      </c>
      <c r="B17" s="6" t="inlineStr">
        <is>
          <t>Ruchika Jha</t>
        </is>
      </c>
      <c r="C17" s="6" t="inlineStr">
        <is>
          <t>Copy Editor</t>
        </is>
      </c>
      <c r="D17" s="6" t="inlineStr">
        <is>
          <t>Images Business of Food</t>
        </is>
      </c>
      <c r="E17" s="6" t="inlineStr">
        <is>
          <t>Food business, foodservice, HoReCa</t>
        </is>
      </c>
      <c r="F17" s="6" t="inlineStr">
        <is>
          <t>New Delhi</t>
        </is>
      </c>
      <c r="G17" s="6" t="n"/>
      <c r="H17" s="6" t="n"/>
      <c r="I17" s="6" t="inlineStr">
        <is>
          <t>Not in lists</t>
        </is>
      </c>
      <c r="J17" s="14" t="inlineStr">
        <is>
          <t>Verified - current role</t>
        </is>
      </c>
      <c r="K17" s="6" t="inlineStr">
        <is>
          <t>Named Copy Editor; outlet covered Mast Banarasi Paan's 400-outlet milestone in 2026</t>
        </is>
      </c>
      <c r="L17" s="15" t="inlineStr">
        <is>
          <t>https://www.businessoffood.in/mast-banarasi-paan-charts-aggressive-growth-crossing-400-outlets-explores-fresh-capital/</t>
        </is>
      </c>
      <c r="M17" s="6" t="inlineStr">
        <is>
          <t>Fit: Mast Banarasi Paan follow-ups (premium gold/silver paan angle).</t>
        </is>
      </c>
    </row>
    <row r="18">
      <c r="A18" s="6" t="n">
        <v>14</v>
      </c>
      <c r="B18" s="6" t="inlineStr">
        <is>
          <t>Rajlakshmi Dastidar</t>
        </is>
      </c>
      <c r="C18" s="6" t="inlineStr">
        <is>
          <t>Writer</t>
        </is>
      </c>
      <c r="D18" s="6" t="inlineStr">
        <is>
          <t>Slurrp (HT Media)</t>
        </is>
      </c>
      <c r="E18" s="6" t="inlineStr">
        <is>
          <t>Whisky, spirits, food culture</t>
        </is>
      </c>
      <c r="F18" s="6" t="inlineStr">
        <is>
          <t>Kolkata/Delhi (to confirm)</t>
        </is>
      </c>
      <c r="G18" s="6" t="n"/>
      <c r="H18" s="6" t="n"/>
      <c r="I18" s="6" t="inlineStr">
        <is>
          <t>Not in lists</t>
        </is>
      </c>
      <c r="J18" s="16" t="inlineStr">
        <is>
          <t>Verified - active 2026</t>
        </is>
      </c>
      <c r="K18" s="6" t="inlineStr">
        <is>
          <t>Byline: 'International Whisky Day 2026: India's New Wave Whisky Culture' (27 Mar 2026)</t>
        </is>
      </c>
      <c r="L18" s="15" t="inlineStr">
        <is>
          <t>https://www.slurrp.com/article/international-whisky-day-2026-experts-on-the-new-whisky-culture-in-india-1774577006830</t>
        </is>
      </c>
      <c r="M18" s="6" t="inlineStr">
        <is>
          <t>Fit: DeVANS GianChand single malt; Six Brothers.</t>
        </is>
      </c>
    </row>
    <row r="19">
      <c r="A19" s="6" t="n">
        <v>15</v>
      </c>
      <c r="B19" s="6" t="inlineStr">
        <is>
          <t>Shireen Jamooji</t>
        </is>
      </c>
      <c r="C19" s="6" t="inlineStr">
        <is>
          <t>Writer</t>
        </is>
      </c>
      <c r="D19" s="6" t="inlineStr">
        <is>
          <t>Slurrp (HT Media)</t>
        </is>
      </c>
      <c r="E19" s="6" t="inlineStr">
        <is>
          <t>Spirits and cocktails</t>
        </is>
      </c>
      <c r="F19" s="6" t="n"/>
      <c r="G19" s="6" t="n"/>
      <c r="H19" s="6" t="n"/>
      <c r="I19" s="6" t="inlineStr">
        <is>
          <t>Not in lists</t>
        </is>
      </c>
      <c r="J19" s="16" t="inlineStr">
        <is>
          <t>Verified - active 2026</t>
        </is>
      </c>
      <c r="K19" s="6" t="inlineStr">
        <is>
          <t>Byline: 'World Whisky Day 2026: Whisky Cocktails &amp; Mango Moments' (16 May 2026)</t>
        </is>
      </c>
      <c r="L19" s="15" t="inlineStr">
        <is>
          <t>https://www.slurrp.com/article/world-whisky-day-2026-whisky-cocktails-amp-mango-moments-when-the-king-of-fruits-meets-the-king-of-spirits-1778850851459</t>
        </is>
      </c>
      <c r="M19" s="6" t="inlineStr">
        <is>
          <t>Fit: DeVANS, Six Brothers.</t>
        </is>
      </c>
    </row>
    <row r="20">
      <c r="A20" s="6" t="n">
        <v>16</v>
      </c>
      <c r="B20" s="6" t="inlineStr">
        <is>
          <t>Parag A Shastry</t>
        </is>
      </c>
      <c r="C20" s="6" t="inlineStr">
        <is>
          <t>Contributor</t>
        </is>
      </c>
      <c r="D20" s="6" t="inlineStr">
        <is>
          <t>Slurrp (HT Media)</t>
        </is>
      </c>
      <c r="E20" s="6" t="inlineStr">
        <is>
          <t>Cocktails, bar culture, local ingredients</t>
        </is>
      </c>
      <c r="F20" s="6" t="n"/>
      <c r="G20" s="6" t="n"/>
      <c r="H20" s="6" t="n"/>
      <c r="I20" s="6" t="inlineStr">
        <is>
          <t>Not in lists</t>
        </is>
      </c>
      <c r="J20" s="16" t="inlineStr">
        <is>
          <t>Verified - active 2026</t>
        </is>
      </c>
      <c r="K20" s="6" t="inlineStr">
        <is>
          <t>Byline: 'The Mindful Pour: Inside India's New Cocktail Consciousness' (6 May 2026)</t>
        </is>
      </c>
      <c r="L20" s="15" t="inlineStr">
        <is>
          <t>https://www.slurrp.com/article/the-mindful-pour-inside-indias-new-cocktail-consciousness-1778067928872</t>
        </is>
      </c>
      <c r="M20" s="6" t="inlineStr">
        <is>
          <t>Fit: Six Brothers (local-ingredient, heritage spirit).</t>
        </is>
      </c>
    </row>
    <row r="21">
      <c r="A21" s="6" t="n">
        <v>17</v>
      </c>
      <c r="B21" s="6" t="inlineStr">
        <is>
          <t>Nikhil Merchant</t>
        </is>
      </c>
      <c r="C21" s="6" t="inlineStr">
        <is>
          <t>Freelance food, spirits and luxury writer</t>
        </is>
      </c>
      <c r="D21" s="6" t="inlineStr">
        <is>
          <t>Slurrp, Condé Nast Traveller, Financial Express, The Nod Mag</t>
        </is>
      </c>
      <c r="E21" s="6" t="inlineStr">
        <is>
          <t>Spirits, F&amp;B, hospitality, luxury</t>
        </is>
      </c>
      <c r="F21" s="6" t="inlineStr">
        <is>
          <t>Mumbai</t>
        </is>
      </c>
      <c r="G21" s="6" t="n"/>
      <c r="H21" s="6" t="n"/>
      <c r="I21" s="6" t="inlineStr">
        <is>
          <t>Not in lists</t>
        </is>
      </c>
      <c r="J21" s="16" t="inlineStr">
        <is>
          <t>Verified - active 2026</t>
        </is>
      </c>
      <c r="K21" s="6" t="inlineStr">
        <is>
          <t>Byline: 'India's Gin Renaissance Enters Its Second Act' (Slurrp, 30 Sep 2026); 'The New Spirit of Asia' (Aug 2026)</t>
        </is>
      </c>
      <c r="L21" s="15" t="inlineStr">
        <is>
          <t>https://www.slurrp.com/article/indias-gin-renaissance-enters-its-second-act-1790770816838</t>
        </is>
      </c>
      <c r="M21" s="6" t="inlineStr">
        <is>
          <t>Strong fit: Six Brothers (Indian craft spirits going global), DeVANS gin.</t>
        </is>
      </c>
    </row>
    <row r="22">
      <c r="A22" s="6" t="n">
        <v>18</v>
      </c>
      <c r="B22" s="6" t="inlineStr">
        <is>
          <t>Anindita Ghosh</t>
        </is>
      </c>
      <c r="C22" s="6" t="inlineStr">
        <is>
          <t>Editor</t>
        </is>
      </c>
      <c r="D22" s="6" t="inlineStr">
        <is>
          <t>OT Eats (Outlook Traveller)</t>
        </is>
      </c>
      <c r="E22" s="6" t="inlineStr">
        <is>
          <t>Food and drink</t>
        </is>
      </c>
      <c r="F22" s="6" t="inlineStr">
        <is>
          <t>New Delhi</t>
        </is>
      </c>
      <c r="G22" s="6" t="n"/>
      <c r="H22" s="6" t="n"/>
      <c r="I22" s="6" t="inlineStr">
        <is>
          <t>Not in lists</t>
        </is>
      </c>
      <c r="J22" s="14" t="inlineStr">
        <is>
          <t>Verified - current role</t>
        </is>
      </c>
      <c r="K22" s="6" t="inlineStr">
        <is>
          <t>Named OT Eats Editor; outlet published a mahua heritage-spirits guide</t>
        </is>
      </c>
      <c r="L22" s="15" t="inlineStr">
        <is>
          <t>https://oteats.outlooktraveller.com/about-us</t>
        </is>
      </c>
      <c r="M22" s="6" t="inlineStr">
        <is>
          <t>Fit: Six Brothers (OT Eats already covers mahua).</t>
        </is>
      </c>
    </row>
    <row r="23">
      <c r="A23" s="6" t="n">
        <v>19</v>
      </c>
      <c r="B23" s="6" t="inlineStr">
        <is>
          <t>Abhya Adlakha</t>
        </is>
      </c>
      <c r="C23" s="6" t="inlineStr">
        <is>
          <t>Writer</t>
        </is>
      </c>
      <c r="D23" s="6" t="inlineStr">
        <is>
          <t>Esquire India</t>
        </is>
      </c>
      <c r="E23" s="6" t="inlineStr">
        <is>
          <t>Food and drinks, restaurants and bars</t>
        </is>
      </c>
      <c r="F23" s="6" t="n"/>
      <c r="G23" s="6" t="n"/>
      <c r="H23" s="6" t="n"/>
      <c r="I23" s="6" t="inlineStr">
        <is>
          <t>Not in lists</t>
        </is>
      </c>
      <c r="J23" s="16" t="inlineStr">
        <is>
          <t>Verified - active 2026</t>
        </is>
      </c>
      <c r="K23" s="6" t="inlineStr">
        <is>
          <t>Byline: 'The Best New Restaurants and Bars in India in 2026 (So Far)' (22 Apr 2026)</t>
        </is>
      </c>
      <c r="L23" s="15" t="inlineStr">
        <is>
          <t>https://www.esquireindia.co.in/food-and-drinks/what-to-eat/the-best-new-restaurants-and-bars-in-india-in-2026-so-far</t>
        </is>
      </c>
      <c r="M23" s="6" t="inlineStr">
        <is>
          <t>Fit: DeVANS, Six Brothers (bar listings and launches).</t>
        </is>
      </c>
    </row>
    <row r="24">
      <c r="A24" s="6" t="n">
        <v>20</v>
      </c>
      <c r="B24" s="6" t="inlineStr">
        <is>
          <t>Geetika Sachdev</t>
        </is>
      </c>
      <c r="C24" s="6" t="inlineStr">
        <is>
          <t>Contributor</t>
        </is>
      </c>
      <c r="D24" s="6" t="inlineStr">
        <is>
          <t>The Nod Mag</t>
        </is>
      </c>
      <c r="E24" s="6" t="inlineStr">
        <is>
          <t>Delhi NCR restaurants, bars, menus</t>
        </is>
      </c>
      <c r="F24" s="6" t="inlineStr">
        <is>
          <t>Delhi NCR</t>
        </is>
      </c>
      <c r="G24" s="6" t="n"/>
      <c r="H24" s="6" t="n"/>
      <c r="I24" s="6" t="inlineStr">
        <is>
          <t>Not in lists</t>
        </is>
      </c>
      <c r="J24" s="16" t="inlineStr">
        <is>
          <t>Verified - active 2026</t>
        </is>
      </c>
      <c r="K24" s="6" t="inlineStr">
        <is>
          <t>Monthly Delhi restaurant and bar guides (Jun and Jul 2026)</t>
        </is>
      </c>
      <c r="L24" s="15" t="inlineStr">
        <is>
          <t>https://thenodmag.com/author/geetika-sachdev</t>
        </is>
      </c>
      <c r="M24" s="6" t="inlineStr">
        <is>
          <t>Fit: Mast Banarasi Paan (Delhi NCR outlets), Six Brothers bar placements.</t>
        </is>
      </c>
    </row>
    <row r="25">
      <c r="A25" s="6" t="n">
        <v>21</v>
      </c>
      <c r="B25" s="6" t="inlineStr">
        <is>
          <t>Poulomi Deb</t>
        </is>
      </c>
      <c r="C25" s="6" t="inlineStr">
        <is>
          <t>Senior Correspondent</t>
        </is>
      </c>
      <c r="D25" s="6" t="inlineStr">
        <is>
          <t>Time Out Delhi</t>
        </is>
      </c>
      <c r="E25" s="6" t="inlineStr">
        <is>
          <t>Delhi food, bars, culture</t>
        </is>
      </c>
      <c r="F25" s="6" t="inlineStr">
        <is>
          <t>New Delhi</t>
        </is>
      </c>
      <c r="G25" s="6" t="n"/>
      <c r="H25" s="6" t="n"/>
      <c r="I25" s="6" t="inlineStr">
        <is>
          <t>Not in lists</t>
        </is>
      </c>
      <c r="J25" s="16" t="inlineStr">
        <is>
          <t>Verified - active 2026</t>
        </is>
      </c>
      <c r="K25" s="6" t="inlineStr">
        <is>
          <t>Time Out profile; covered India Art Fair 2026 (Feb 2026)</t>
        </is>
      </c>
      <c r="L25" s="15" t="inlineStr">
        <is>
          <t>https://www.timeout.com/profile/poulomi-deb</t>
        </is>
      </c>
      <c r="M25" s="6" t="inlineStr">
        <is>
          <t>Fit: Delhi launches for all F&amp;B and alcobev brands; also art (Devyani).</t>
        </is>
      </c>
    </row>
    <row r="26">
      <c r="A26" s="6" t="n">
        <v>22</v>
      </c>
      <c r="B26" s="6" t="inlineStr">
        <is>
          <t>Nayantara Singh</t>
        </is>
      </c>
      <c r="C26" s="6" t="inlineStr">
        <is>
          <t>Senior Editor</t>
        </is>
      </c>
      <c r="D26" s="6" t="inlineStr">
        <is>
          <t>Time Out India</t>
        </is>
      </c>
      <c r="E26" s="6" t="inlineStr">
        <is>
          <t>Food, drink, city culture</t>
        </is>
      </c>
      <c r="F26" s="6" t="n"/>
      <c r="G26" s="6" t="n"/>
      <c r="H26" s="6" t="n"/>
      <c r="I26" s="6" t="inlineStr">
        <is>
          <t>Not in lists</t>
        </is>
      </c>
      <c r="J26" s="14" t="inlineStr">
        <is>
          <t>Verified - current role</t>
        </is>
      </c>
      <c r="K26" s="6" t="inlineStr">
        <is>
          <t>Time Out profile lists her as Senior Editor, Time Out India</t>
        </is>
      </c>
      <c r="L26" s="15" t="inlineStr">
        <is>
          <t>https://www.timeout.com/profile/nayantara-singh</t>
        </is>
      </c>
      <c r="M26" s="6" t="inlineStr">
        <is>
          <t>Fit: 30 Best Bars India coverage; DeVANS, Six Brothers.</t>
        </is>
      </c>
    </row>
    <row r="27">
      <c r="A27" s="6" t="n">
        <v>23</v>
      </c>
      <c r="B27" s="6" t="inlineStr">
        <is>
          <t>Anisha Khole</t>
        </is>
      </c>
      <c r="C27" s="6" t="inlineStr">
        <is>
          <t>Writer</t>
        </is>
      </c>
      <c r="D27" s="6" t="inlineStr">
        <is>
          <t>Local Samosa</t>
        </is>
      </c>
      <c r="E27" s="6" t="inlineStr">
        <is>
          <t>Brand stories, homegrown brands</t>
        </is>
      </c>
      <c r="F27" s="6" t="n"/>
      <c r="G27" s="6" t="n"/>
      <c r="H27" s="6" t="n"/>
      <c r="I27" s="6" t="inlineStr">
        <is>
          <t>Not in lists</t>
        </is>
      </c>
      <c r="J27" s="16" t="inlineStr">
        <is>
          <t>Verified - active 2026</t>
        </is>
      </c>
      <c r="K27" s="6" t="inlineStr">
        <is>
          <t>Byline: Mohulo gin (mahua flower) brand story (26 Mar 2026)</t>
        </is>
      </c>
      <c r="L27" s="15" t="inlineStr">
        <is>
          <t>https://www.localsamosa.com/business/mohulo-gin-brand-story-11226236</t>
        </is>
      </c>
      <c r="M27" s="6" t="inlineStr">
        <is>
          <t>Strong fit: Six Brothers mahua brand story.</t>
        </is>
      </c>
    </row>
    <row r="28">
      <c r="A28" s="6" t="n">
        <v>24</v>
      </c>
      <c r="B28" s="6" t="inlineStr">
        <is>
          <t>Vir Sanghvi</t>
        </is>
      </c>
      <c r="C28" s="6" t="inlineStr">
        <is>
          <t>Columnist (Rude Food)</t>
        </is>
      </c>
      <c r="D28" s="6" t="inlineStr">
        <is>
          <t>Hindustan Times / HT Brunch</t>
        </is>
      </c>
      <c r="E28" s="6" t="inlineStr">
        <is>
          <t>Food and drink</t>
        </is>
      </c>
      <c r="F28" s="6" t="inlineStr">
        <is>
          <t>New Delhi</t>
        </is>
      </c>
      <c r="G28" s="6" t="n"/>
      <c r="H28" s="6" t="n"/>
      <c r="I28" s="6" t="inlineStr">
        <is>
          <t>Not in lists</t>
        </is>
      </c>
      <c r="J28" s="16" t="inlineStr">
        <is>
          <t>Verified - active 2026</t>
        </is>
      </c>
      <c r="K28" s="6" t="inlineStr">
        <is>
          <t>Rude Food column, e.g. 'Why the avocado is like butter, but better' (11 Sep 2026)</t>
        </is>
      </c>
      <c r="L28" s="15" t="inlineStr">
        <is>
          <t>https://muckrack.com/vir-sanghvi/articles</t>
        </is>
      </c>
      <c r="M28" s="6" t="inlineStr">
        <is>
          <t>Top-tier food voice. Fit: Six Brothers heritage story; Mast Banarasi Paan (paan as dessert).</t>
        </is>
      </c>
    </row>
    <row r="29">
      <c r="A29" s="6" t="n">
        <v>25</v>
      </c>
      <c r="B29" s="6" t="inlineStr">
        <is>
          <t>Sourish Bhattacharyya</t>
        </is>
      </c>
      <c r="C29" s="6" t="inlineStr">
        <is>
          <t>Food columnist and restaurant critic (freelance)</t>
        </is>
      </c>
      <c r="D29" s="6" t="inlineStr">
        <is>
          <t>Freelance; co-founder, Delhi Gourmet Club</t>
        </is>
      </c>
      <c r="E29" s="6" t="inlineStr">
        <is>
          <t>Indian food culture, heritage food and drink</t>
        </is>
      </c>
      <c r="F29" s="6" t="inlineStr">
        <is>
          <t>New Delhi</t>
        </is>
      </c>
      <c r="G29" s="6" t="n"/>
      <c r="H29" s="6" t="n"/>
      <c r="I29" s="6" t="inlineStr">
        <is>
          <t>Not in lists</t>
        </is>
      </c>
      <c r="J29" s="16" t="inlineStr">
        <is>
          <t>Verified - active 2026</t>
        </is>
      </c>
      <c r="K29" s="6" t="inlineStr">
        <is>
          <t>Moderated Food and Tourism panel at Delhi Food Awards 2026; Godrej Food Trends Report 2026 launch</t>
        </is>
      </c>
      <c r="L29" s="15" t="inlineStr">
        <is>
          <t>https://www.outlooktraveller.com/News/delhi-food-awards-2026-celebrates-culinary-heritage-community-and-the-future-of-food-in-the-capital</t>
        </is>
      </c>
      <c r="M29" s="6" t="inlineStr">
        <is>
          <t>Fit: Mast Banarasi Paan (Banarasi paan heritage), Six Brothers.</t>
        </is>
      </c>
    </row>
    <row r="30">
      <c r="A30" s="6" t="n">
        <v>26</v>
      </c>
      <c r="B30" s="6" t="inlineStr">
        <is>
          <t>Magandeep Singh</t>
        </is>
      </c>
      <c r="C30" s="6" t="inlineStr">
        <is>
          <t>Columnist ('Between sips'); sommelier</t>
        </is>
      </c>
      <c r="D30" s="6" t="inlineStr">
        <is>
          <t>The Hindu (columnist); multiple titles</t>
        </is>
      </c>
      <c r="E30" s="6" t="inlineStr">
        <is>
          <t>Wine and spirits</t>
        </is>
      </c>
      <c r="F30" s="6" t="inlineStr">
        <is>
          <t>New Delhi</t>
        </is>
      </c>
      <c r="G30" s="6" t="n"/>
      <c r="H30" s="6" t="n"/>
      <c r="I30" s="6" t="inlineStr">
        <is>
          <t>Not in lists</t>
        </is>
      </c>
      <c r="J30" s="16" t="inlineStr">
        <is>
          <t>Verified - active 2026</t>
        </is>
      </c>
      <c r="K30" s="6" t="inlineStr">
        <is>
          <t>Column 'Between sips: New red on the block' in The Hindu (29 Jan 2026)</t>
        </is>
      </c>
      <c r="L30" s="15" t="inlineStr">
        <is>
          <t>https://muckrack.com/magandeep-singh/articles</t>
        </is>
      </c>
      <c r="M30" s="6" t="inlineStr">
        <is>
          <t>Fit: DeVANS, Six Brothers (spirits critique and tasting).</t>
        </is>
      </c>
    </row>
    <row r="31">
      <c r="A31" s="6" t="n">
        <v>27</v>
      </c>
      <c r="B31" s="6" t="inlineStr">
        <is>
          <t>Rupali Dean</t>
        </is>
      </c>
      <c r="C31" s="6" t="inlineStr">
        <is>
          <t>Freelance food and travel writer</t>
        </is>
      </c>
      <c r="D31" s="6" t="inlineStr">
        <is>
          <t>Sunday Guardian, Elle Gourmet, Robb Report India</t>
        </is>
      </c>
      <c r="E31" s="6" t="inlineStr">
        <is>
          <t>Food, restaurants, travel</t>
        </is>
      </c>
      <c r="F31" s="6" t="inlineStr">
        <is>
          <t>New Delhi</t>
        </is>
      </c>
      <c r="G31" s="6" t="n"/>
      <c r="H31" s="6" t="n"/>
      <c r="I31" s="6" t="inlineStr">
        <is>
          <t>Not in lists</t>
        </is>
      </c>
      <c r="J31" s="16" t="inlineStr">
        <is>
          <t>Verified - active 2026</t>
        </is>
      </c>
      <c r="K31" s="6" t="inlineStr">
        <is>
          <t>Byline in Sunday Guardian (4 Oct 2026)</t>
        </is>
      </c>
      <c r="L31" s="15" t="inlineStr">
        <is>
          <t>https://sundayguardianlive.com/feature/cinnamon-life-at-sri-lankas-city-of-dreams-a-fairytale-written-for-two-298239</t>
        </is>
      </c>
      <c r="M31" s="6" t="inlineStr">
        <is>
          <t>Fit: Mast Banarasi Paan premium paan; Six Brothers.</t>
        </is>
      </c>
    </row>
    <row r="32">
      <c r="A32" s="6" t="n">
        <v>28</v>
      </c>
      <c r="B32" s="6" t="inlineStr">
        <is>
          <t>Aasheesh Sharma</t>
        </is>
      </c>
      <c r="C32" s="6" t="inlineStr">
        <is>
          <t>Digital Editor</t>
        </is>
      </c>
      <c r="D32" s="6" t="inlineStr">
        <is>
          <t>Outlook</t>
        </is>
      </c>
      <c r="E32" s="6" t="inlineStr">
        <is>
          <t>Food and lifestyle</t>
        </is>
      </c>
      <c r="F32" s="6" t="inlineStr">
        <is>
          <t>New Delhi</t>
        </is>
      </c>
      <c r="G32" s="6" t="inlineStr">
        <is>
          <t>9811736051</t>
        </is>
      </c>
      <c r="H32" s="6" t="n"/>
      <c r="I32" s="6" t="inlineStr">
        <is>
          <t>Sports Media List PDF (phone only; HT email outdated)</t>
        </is>
      </c>
      <c r="J32" s="18" t="inlineStr">
        <is>
          <t>Moved - updated</t>
        </is>
      </c>
      <c r="K32" s="6" t="inlineStr">
        <is>
          <t>LinkedIn shows Digital Editor, Outlook; previously HT Brunch (your list still has him at HT)</t>
        </is>
      </c>
      <c r="L32" s="15" t="inlineStr">
        <is>
          <t>https://www.linkedin.com/in/aasheesh-sharma/</t>
        </is>
      </c>
      <c r="M32" s="6" t="inlineStr">
        <is>
          <t>Do not use aasheesh.sharma@hindustantimes.com. Mobile is from the old list; confirm.</t>
        </is>
      </c>
    </row>
    <row r="33">
      <c r="A33" s="6" t="n">
        <v>29</v>
      </c>
      <c r="B33" s="6" t="inlineStr">
        <is>
          <t>Meher Mirza</t>
        </is>
      </c>
      <c r="C33" s="6" t="inlineStr">
        <is>
          <t>Food columnist</t>
        </is>
      </c>
      <c r="D33" s="6" t="inlineStr">
        <is>
          <t>NDTV Food (freelance)</t>
        </is>
      </c>
      <c r="E33" s="6" t="inlineStr">
        <is>
          <t>Food writing</t>
        </is>
      </c>
      <c r="F33" s="6" t="inlineStr">
        <is>
          <t>Mumbai</t>
        </is>
      </c>
      <c r="G33" s="6" t="n"/>
      <c r="H33" s="6" t="n"/>
      <c r="I33" s="6" t="inlineStr">
        <is>
          <t>Not in lists</t>
        </is>
      </c>
      <c r="J33" s="17" t="inlineStr">
        <is>
          <t>To confirm</t>
        </is>
      </c>
      <c r="K33" s="6" t="inlineStr">
        <is>
          <t>Author profile lists her as NDTV food columnist; no 2026 byline found</t>
        </is>
      </c>
      <c r="L33" s="15" t="inlineStr">
        <is>
          <t>https://www.lonelyplanet.com/authors/meher-mirza</t>
        </is>
      </c>
      <c r="M33" s="6" t="inlineStr">
        <is>
          <t>Confirm she is still writing before pitching.</t>
        </is>
      </c>
    </row>
  </sheetData>
  <autoFilter ref="A4:M33"/>
  <dataValidations count="1">
    <dataValidation sqref="J5:J33"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 xmlns:r="http://schemas.openxmlformats.org/officeDocument/2006/relationships" ref="L29" r:id="rId25"/>
    <hyperlink xmlns:r="http://schemas.openxmlformats.org/officeDocument/2006/relationships" ref="L30" r:id="rId26"/>
    <hyperlink xmlns:r="http://schemas.openxmlformats.org/officeDocument/2006/relationships" ref="L31" r:id="rId27"/>
    <hyperlink xmlns:r="http://schemas.openxmlformats.org/officeDocument/2006/relationships" ref="L32" r:id="rId28"/>
    <hyperlink xmlns:r="http://schemas.openxmlformats.org/officeDocument/2006/relationships" ref="L33"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s>
  <sheetData>
    <row r="1">
      <c r="A1" s="1" t="inlineStr">
        <is>
          <t>Lifestyle</t>
        </is>
      </c>
    </row>
    <row r="2">
      <c r="A2" s="13" t="inlineStr">
        <is>
          <t>National lifestyle and women's titles. Primary use: Devyani Jaipuria personal branding; DHS mom and lifestyle angle.</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row>
    <row r="5">
      <c r="A5" s="6" t="n">
        <v>1</v>
      </c>
      <c r="B5" s="6" t="inlineStr">
        <is>
          <t>Jamal Shaikh</t>
        </is>
      </c>
      <c r="C5" s="6" t="inlineStr">
        <is>
          <t>National Editor, Brunch and New Media Initiatives</t>
        </is>
      </c>
      <c r="D5" s="6" t="inlineStr">
        <is>
          <t>Hindustan Times (HT Brunch)</t>
        </is>
      </c>
      <c r="E5" s="6" t="inlineStr">
        <is>
          <t>Lifestyle, culture, people</t>
        </is>
      </c>
      <c r="F5" s="6" t="inlineStr">
        <is>
          <t>New Delhi</t>
        </is>
      </c>
      <c r="G5" s="6" t="n"/>
      <c r="H5" s="6" t="n"/>
      <c r="I5" s="6" t="inlineStr">
        <is>
          <t>Not in lists</t>
        </is>
      </c>
      <c r="J5" s="16" t="inlineStr">
        <is>
          <t>Verified - active 2026</t>
        </is>
      </c>
      <c r="K5" s="6" t="inlineStr">
        <is>
          <t>Active as HT Brunch editor; contributed to The Voice of Fashion (Jun 2026)</t>
        </is>
      </c>
      <c r="L5" s="15" t="inlineStr">
        <is>
          <t>https://muckrack.com/jamal-shaikh/articles</t>
        </is>
      </c>
      <c r="M5" s="6" t="inlineStr">
        <is>
          <t>Fit: Devyani (Brunch cover/profile: art collector, mother of three); DHS sports complex as a lifestyle story.</t>
        </is>
      </c>
    </row>
    <row r="6">
      <c r="A6" s="6" t="n">
        <v>2</v>
      </c>
      <c r="B6" s="6" t="inlineStr">
        <is>
          <t>Rochelle Pinto</t>
        </is>
      </c>
      <c r="C6" s="6" t="inlineStr">
        <is>
          <t>Head of Editorial Content</t>
        </is>
      </c>
      <c r="D6" s="6" t="inlineStr">
        <is>
          <t>Vogue India</t>
        </is>
      </c>
      <c r="E6" s="6" t="inlineStr">
        <is>
          <t>Fashion, culture, women</t>
        </is>
      </c>
      <c r="F6" s="6" t="inlineStr">
        <is>
          <t>Mumbai</t>
        </is>
      </c>
      <c r="G6" s="6" t="n"/>
      <c r="H6" s="6" t="n"/>
      <c r="I6" s="6" t="inlineStr">
        <is>
          <t>Not in lists</t>
        </is>
      </c>
      <c r="J6" s="16" t="inlineStr">
        <is>
          <t>Verified - active 2026</t>
        </is>
      </c>
      <c r="K6" s="6" t="inlineStr">
        <is>
          <t>Head of Editorial Content credited on 2026 issues</t>
        </is>
      </c>
      <c r="L6" s="15" t="inlineStr">
        <is>
          <t>https://www.exchange4media.com/people-movement-news/rochelle-pinto-is-head-of-editorial-content-for-vogue-india-130285.html</t>
        </is>
      </c>
      <c r="M6" s="6" t="inlineStr">
        <is>
          <t>Fit: Devyani (art and style feature, Neerja Birla template).</t>
        </is>
      </c>
    </row>
    <row r="7">
      <c r="A7" s="6" t="n">
        <v>3</v>
      </c>
      <c r="B7" s="6" t="inlineStr">
        <is>
          <t>Rasna Bhasin</t>
        </is>
      </c>
      <c r="C7" s="6" t="inlineStr">
        <is>
          <t>Editor-in-Chief</t>
        </is>
      </c>
      <c r="D7" s="6" t="inlineStr">
        <is>
          <t>Harper's Bazaar India (India Today Group)</t>
        </is>
      </c>
      <c r="E7" s="6" t="inlineStr">
        <is>
          <t>Fashion, luxury, culture, art</t>
        </is>
      </c>
      <c r="F7" s="6" t="inlineStr">
        <is>
          <t>New Delhi</t>
        </is>
      </c>
      <c r="G7" s="6" t="n"/>
      <c r="H7" s="6" t="n"/>
      <c r="I7" s="6" t="inlineStr">
        <is>
          <t>Not in lists</t>
        </is>
      </c>
      <c r="J7" s="16" t="inlineStr">
        <is>
          <t>Verified - active 2026</t>
        </is>
      </c>
      <c r="K7" s="6" t="inlineStr">
        <is>
          <t>Profiled as Editor-in-Chief (28 Apr 2026)</t>
        </is>
      </c>
      <c r="L7" s="15" t="inlineStr">
        <is>
          <t>https://www.hearstmagazinesinternational.com/news/off-the-page-with-rasna-bhasin-editor-in-chief-of-harpers-bazaar-india/</t>
        </is>
      </c>
      <c r="M7" s="6" t="inlineStr">
        <is>
          <t>Fit: Devyani (collectors and culture coverage).</t>
        </is>
      </c>
    </row>
    <row r="8">
      <c r="A8" s="6" t="n">
        <v>4</v>
      </c>
      <c r="B8" s="6" t="inlineStr">
        <is>
          <t>Che Kurrien</t>
        </is>
      </c>
      <c r="C8" s="6" t="inlineStr">
        <is>
          <t>Head of Editorial Content</t>
        </is>
      </c>
      <c r="D8" s="6" t="inlineStr">
        <is>
          <t>GQ India</t>
        </is>
      </c>
      <c r="E8" s="6" t="inlineStr">
        <is>
          <t>Men's lifestyle, culture, power lists</t>
        </is>
      </c>
      <c r="F8" s="6" t="inlineStr">
        <is>
          <t>Mumbai</t>
        </is>
      </c>
      <c r="G8" s="6" t="n"/>
      <c r="H8" s="6" t="n"/>
      <c r="I8" s="6" t="inlineStr">
        <is>
          <t>Not in lists</t>
        </is>
      </c>
      <c r="J8" s="16" t="inlineStr">
        <is>
          <t>Verified - active 2026</t>
        </is>
      </c>
      <c r="K8" s="6" t="inlineStr">
        <is>
          <t>Listed as Head of Editorial Content, GQ India (Apr 2026)</t>
        </is>
      </c>
      <c r="L8" s="15" t="inlineStr">
        <is>
          <t>https://muckrack.com/che-kurrien/articles</t>
        </is>
      </c>
      <c r="M8" s="6" t="inlineStr">
        <is>
          <t>Fit: Devyani (GQ-type features named in brief).</t>
        </is>
      </c>
    </row>
    <row r="9">
      <c r="A9" s="6" t="n">
        <v>5</v>
      </c>
      <c r="B9" s="6" t="inlineStr">
        <is>
          <t>Ainee Nizami Ahmedi</t>
        </is>
      </c>
      <c r="C9" s="6" t="inlineStr">
        <is>
          <t>Editor / Editorial Director</t>
        </is>
      </c>
      <c r="D9" s="6" t="inlineStr">
        <is>
          <t>Elle India</t>
        </is>
      </c>
      <c r="E9" s="6" t="inlineStr">
        <is>
          <t>Fashion, beauty, women</t>
        </is>
      </c>
      <c r="F9" s="6" t="inlineStr">
        <is>
          <t>Mumbai</t>
        </is>
      </c>
      <c r="G9" s="6" t="n"/>
      <c r="H9" s="6" t="n"/>
      <c r="I9" s="6" t="inlineStr">
        <is>
          <t>Not in lists</t>
        </is>
      </c>
      <c r="J9" s="17" t="inlineStr">
        <is>
          <t>To confirm</t>
        </is>
      </c>
      <c r="K9" s="6" t="inlineStr">
        <is>
          <t>Named Editor on Elle India pages; no dated 2026 evidence found</t>
        </is>
      </c>
      <c r="L9" s="15" t="inlineStr">
        <is>
          <t>https://elle.in/contact-us</t>
        </is>
      </c>
      <c r="M9" s="6" t="inlineStr">
        <is>
          <t>Your A &amp; M list names Karuna Laungani as Elle editor; that is outdated.</t>
        </is>
      </c>
    </row>
    <row r="10">
      <c r="A10" s="6" t="n">
        <v>6</v>
      </c>
      <c r="B10" s="6" t="inlineStr">
        <is>
          <t>Snigdha Ahuja</t>
        </is>
      </c>
      <c r="C10" s="6" t="inlineStr">
        <is>
          <t>Editor</t>
        </is>
      </c>
      <c r="D10" s="6" t="inlineStr">
        <is>
          <t>Cosmopolitan India (India Today Group)</t>
        </is>
      </c>
      <c r="E10" s="6" t="inlineStr">
        <is>
          <t>Fashion, beauty, pop culture</t>
        </is>
      </c>
      <c r="F10" s="6" t="inlineStr">
        <is>
          <t>New Delhi</t>
        </is>
      </c>
      <c r="G10" s="6" t="n"/>
      <c r="H10" s="6" t="n"/>
      <c r="I10" s="6" t="inlineStr">
        <is>
          <t>Not in lists</t>
        </is>
      </c>
      <c r="J10" s="14" t="inlineStr">
        <is>
          <t>Verified - current role</t>
        </is>
      </c>
      <c r="K10" s="6" t="inlineStr">
        <is>
          <t>Appointment as Editor, Cosmopolitan India (2025)</t>
        </is>
      </c>
      <c r="L10" s="15" t="inlineStr">
        <is>
          <t>https://www.exchange4media.com/media-print-news/snigdha-ahuja-appointed-as-new-editor-of-cosmopolitan-india-143224.html</t>
        </is>
      </c>
      <c r="M10" s="6" t="inlineStr">
        <is>
          <t>Fit: Devyani (women, motherhood, style).</t>
        </is>
      </c>
    </row>
    <row r="11">
      <c r="A11" s="6" t="n">
        <v>7</v>
      </c>
      <c r="B11" s="6" t="inlineStr">
        <is>
          <t>Ambika Muttoo</t>
        </is>
      </c>
      <c r="C11" s="6" t="inlineStr">
        <is>
          <t>Editor-in-Chief</t>
        </is>
      </c>
      <c r="D11" s="6" t="inlineStr">
        <is>
          <t>Femina</t>
        </is>
      </c>
      <c r="E11" s="6" t="inlineStr">
        <is>
          <t>Women, lifestyle, achievers</t>
        </is>
      </c>
      <c r="F11" s="6" t="inlineStr">
        <is>
          <t>Mumbai</t>
        </is>
      </c>
      <c r="G11" s="6" t="n"/>
      <c r="H11" s="6" t="n"/>
      <c r="I11" s="6" t="inlineStr">
        <is>
          <t>Not in lists</t>
        </is>
      </c>
      <c r="J11" s="16" t="inlineStr">
        <is>
          <t>Verified - active 2026</t>
        </is>
      </c>
      <c r="K11" s="6" t="inlineStr">
        <is>
          <t>Femina Beauty Awards 2026 jury (6 May 2026); leads Femina Achievers</t>
        </is>
      </c>
      <c r="L11" s="15" t="inlineStr">
        <is>
          <t>https://www.mediainfoline.com/awards/femina-beauty-awards-2026-ananya-panday-kriti-sanon-and-tamannaah-bhatia-lead-a-star-studded-night</t>
        </is>
      </c>
      <c r="M11" s="6" t="inlineStr">
        <is>
          <t>Fit: Devyani (Femina Achievers, women entrepreneurs); DHS mom-audience angle.</t>
        </is>
      </c>
    </row>
    <row r="12">
      <c r="A12" s="6" t="n">
        <v>8</v>
      </c>
      <c r="B12" s="6" t="inlineStr">
        <is>
          <t>Shalini Umachandran</t>
        </is>
      </c>
      <c r="C12" s="6" t="inlineStr">
        <is>
          <t>Editor</t>
        </is>
      </c>
      <c r="D12" s="6" t="inlineStr">
        <is>
          <t>Mint Lounge</t>
        </is>
      </c>
      <c r="E12" s="6" t="inlineStr">
        <is>
          <t>Art, culture, lifestyle</t>
        </is>
      </c>
      <c r="F12" s="6" t="n"/>
      <c r="G12" s="6" t="n"/>
      <c r="H12" s="6" t="n"/>
      <c r="I12" s="6" t="inlineStr">
        <is>
          <t>Not in lists</t>
        </is>
      </c>
      <c r="J12" s="17" t="inlineStr">
        <is>
          <t>To confirm</t>
        </is>
      </c>
      <c r="K12" s="6" t="inlineStr">
        <is>
          <t>X profile lists her as editor at Mint Lounge; Mint Lounge leadership changed in Mar 2026</t>
        </is>
      </c>
      <c r="L12" s="15" t="inlineStr">
        <is>
          <t>https://x.com/shalinimb</t>
        </is>
      </c>
      <c r="M12" s="6" t="inlineStr">
        <is>
          <t>Brief names Mint Lounge as a target. Confirm current masthead before pitching.</t>
        </is>
      </c>
    </row>
    <row r="13">
      <c r="A13" s="6" t="n">
        <v>9</v>
      </c>
      <c r="B13" s="6" t="inlineStr">
        <is>
          <t>Rahul Gangwani</t>
        </is>
      </c>
      <c r="C13" s="6" t="inlineStr">
        <is>
          <t>Editor-in-Chief</t>
        </is>
      </c>
      <c r="D13" s="6" t="inlineStr">
        <is>
          <t>Lifestyle Asia India (Burda Media India)</t>
        </is>
      </c>
      <c r="E13" s="6" t="inlineStr">
        <is>
          <t>Luxury lifestyle</t>
        </is>
      </c>
      <c r="F13" s="6" t="inlineStr">
        <is>
          <t>Mumbai</t>
        </is>
      </c>
      <c r="G13" s="6" t="n"/>
      <c r="H13" s="6" t="n"/>
      <c r="I13" s="6" t="inlineStr">
        <is>
          <t>Not in lists</t>
        </is>
      </c>
      <c r="J13" s="17" t="inlineStr">
        <is>
          <t>To confirm</t>
        </is>
      </c>
      <c r="K13" s="6" t="inlineStr">
        <is>
          <t>Listed as Editor-in-Chief on company page</t>
        </is>
      </c>
      <c r="L13" s="15" t="inlineStr">
        <is>
          <t>https://in.linkedin.com/company/lifestyle-asia-india</t>
        </is>
      </c>
      <c r="M13" s="6" t="inlineStr">
        <is>
          <t>Confirm before pitching.</t>
        </is>
      </c>
    </row>
    <row r="14">
      <c r="A14" s="6" t="n">
        <v>10</v>
      </c>
      <c r="B14" s="6" t="inlineStr">
        <is>
          <t>Yilobeni Valerie Patton</t>
        </is>
      </c>
      <c r="C14" s="6" t="inlineStr">
        <is>
          <t>Features Editor</t>
        </is>
      </c>
      <c r="D14" s="6" t="inlineStr">
        <is>
          <t>Outlook Luxe</t>
        </is>
      </c>
      <c r="E14" s="6" t="inlineStr">
        <is>
          <t>Luxury, culture, people</t>
        </is>
      </c>
      <c r="F14" s="6" t="inlineStr">
        <is>
          <t>New Delhi</t>
        </is>
      </c>
      <c r="G14" s="6" t="n"/>
      <c r="H14" s="6" t="n"/>
      <c r="I14" s="6" t="inlineStr">
        <is>
          <t>Not in lists</t>
        </is>
      </c>
      <c r="J14" s="14" t="inlineStr">
        <is>
          <t>Verified - current role</t>
        </is>
      </c>
      <c r="K14" s="6" t="inlineStr">
        <is>
          <t>Named Features Editor on Outlook Luxe team page</t>
        </is>
      </c>
      <c r="L14" s="15" t="inlineStr">
        <is>
          <t>https://luxe.outlookindia.com/about-us</t>
        </is>
      </c>
      <c r="M14" s="6" t="inlineStr">
        <is>
          <t>Fit: Devyani (luxury lifestyle profile).</t>
        </is>
      </c>
    </row>
    <row r="15">
      <c r="A15" s="6" t="n">
        <v>11</v>
      </c>
      <c r="B15" s="6" t="inlineStr">
        <is>
          <t>Priyamvada</t>
        </is>
      </c>
      <c r="C15" s="6" t="inlineStr">
        <is>
          <t>Senior Principal Correspondent</t>
        </is>
      </c>
      <c r="D15" s="6" t="inlineStr">
        <is>
          <t>Outlook Luxe</t>
        </is>
      </c>
      <c r="E15" s="6" t="inlineStr">
        <is>
          <t>Fashion, design, art, beauty, culture</t>
        </is>
      </c>
      <c r="F15" s="6" t="inlineStr">
        <is>
          <t>New Delhi</t>
        </is>
      </c>
      <c r="G15" s="6" t="n"/>
      <c r="H15" s="6" t="n"/>
      <c r="I15" s="6" t="inlineStr">
        <is>
          <t>Not in lists</t>
        </is>
      </c>
      <c r="J15" s="14" t="inlineStr">
        <is>
          <t>Verified - current role</t>
        </is>
      </c>
      <c r="K15" s="6" t="inlineStr">
        <is>
          <t>Named on Outlook Luxe team page</t>
        </is>
      </c>
      <c r="L15" s="15" t="inlineStr">
        <is>
          <t>https://luxe.outlookindia.com/about-us</t>
        </is>
      </c>
      <c r="M15" s="6" t="inlineStr">
        <is>
          <t>Fit: Devyani (art collection). Surname not listed on source.</t>
        </is>
      </c>
    </row>
    <row r="16">
      <c r="A16" s="6" t="n">
        <v>12</v>
      </c>
      <c r="B16" s="6" t="inlineStr">
        <is>
          <t>Aalika Mahindra</t>
        </is>
      </c>
      <c r="C16" s="6" t="inlineStr">
        <is>
          <t>Editorial Director</t>
        </is>
      </c>
      <c r="D16" s="6" t="inlineStr">
        <is>
          <t>Verve</t>
        </is>
      </c>
      <c r="E16" s="6" t="inlineStr">
        <is>
          <t>Women, luxury lifestyle</t>
        </is>
      </c>
      <c r="F16" s="6" t="inlineStr">
        <is>
          <t>Mumbai</t>
        </is>
      </c>
      <c r="G16" s="6" t="n"/>
      <c r="H16" s="6" t="n"/>
      <c r="I16" s="6" t="inlineStr">
        <is>
          <t>Not in lists</t>
        </is>
      </c>
      <c r="J16" s="17" t="inlineStr">
        <is>
          <t>To confirm</t>
        </is>
      </c>
      <c r="K16" s="6" t="inlineStr">
        <is>
          <t>Listed as Editorial Director; no dated 2026 evidence</t>
        </is>
      </c>
      <c r="L16" s="15" t="inlineStr">
        <is>
          <t>https://en.wikipedia.org/wiki/Verve_(Indian_magazine)</t>
        </is>
      </c>
      <c r="M16" s="6" t="inlineStr">
        <is>
          <t>Confirm before pitching.</t>
        </is>
      </c>
    </row>
  </sheetData>
  <autoFilter ref="A4:M16"/>
  <dataValidations count="1">
    <dataValidation sqref="J5:J16"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s>
  <sheetData>
    <row r="1">
      <c r="A1" s="1" t="inlineStr">
        <is>
          <t>Celebrity &amp; Society</t>
        </is>
      </c>
    </row>
    <row r="2">
      <c r="A2" s="13" t="inlineStr">
        <is>
          <t>Celebrity, society and entertainment editors.</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row>
    <row r="5">
      <c r="A5" s="6" t="n">
        <v>1</v>
      </c>
      <c r="B5" s="6" t="inlineStr">
        <is>
          <t>Ruchika Mehta</t>
        </is>
      </c>
      <c r="C5" s="6" t="inlineStr">
        <is>
          <t>Editor, HELLO! India; Editor, India Today Spice and Brides Today; Editor-at-Large, Luxury and Lifestyle</t>
        </is>
      </c>
      <c r="D5" s="6" t="inlineStr">
        <is>
          <t>India Today Group</t>
        </is>
      </c>
      <c r="E5" s="6" t="inlineStr">
        <is>
          <t>Celebrity, society, luxury, weddings</t>
        </is>
      </c>
      <c r="F5" s="6" t="inlineStr">
        <is>
          <t>New Delhi</t>
        </is>
      </c>
      <c r="G5" s="6" t="inlineStr">
        <is>
          <t>9811156993</t>
        </is>
      </c>
      <c r="H5" s="6" t="inlineStr">
        <is>
          <t>ruchikamehta05@gmail.com</t>
        </is>
      </c>
      <c r="I5" s="6" t="inlineStr">
        <is>
          <t>A &amp; M Media List (Online sheet)</t>
        </is>
      </c>
      <c r="J5" s="16" t="inlineStr">
        <is>
          <t>Verified - active 2026</t>
        </is>
      </c>
      <c r="K5" s="6" t="inlineStr">
        <is>
          <t>Took additional charge as Editor, India Today Spice (2026); IWD 2026 awardee as HELLO! Editor</t>
        </is>
      </c>
      <c r="L5" s="15" t="inlineStr">
        <is>
          <t>https://www.exchange4media.com/people-movement-news/ruchika-mehta-takes-additional-charge-as-editor-of-india-today-spice-158393.html</t>
        </is>
      </c>
      <c r="M5" s="6" t="inlineStr">
        <is>
          <t>Top fit for Devyani (HELLO! home/family/art feature). Old wwm.co.in email in your list is outdated; use gmail.</t>
        </is>
      </c>
    </row>
    <row r="6">
      <c r="A6" s="6" t="n">
        <v>2</v>
      </c>
      <c r="B6" s="6" t="inlineStr">
        <is>
          <t>Sonal Kalra</t>
        </is>
      </c>
      <c r="C6" s="6" t="inlineStr">
        <is>
          <t>Chief Managing Editor, Entertainment and Lifestyle</t>
        </is>
      </c>
      <c r="D6" s="6" t="inlineStr">
        <is>
          <t>Hindustan Times (HT City)</t>
        </is>
      </c>
      <c r="E6" s="6" t="inlineStr">
        <is>
          <t>Entertainment, art, lifestyle (28 editions)</t>
        </is>
      </c>
      <c r="F6" s="6" t="inlineStr">
        <is>
          <t>New Delhi</t>
        </is>
      </c>
      <c r="G6" s="6" t="n"/>
      <c r="H6" s="6" t="n"/>
      <c r="I6" s="6" t="inlineStr">
        <is>
          <t>Not in lists</t>
        </is>
      </c>
      <c r="J6" s="16" t="inlineStr">
        <is>
          <t>Verified - active 2026</t>
        </is>
      </c>
      <c r="K6" s="6" t="inlineStr">
        <is>
          <t>Season 3 of her HT show 'The Right Angle' premiered 20 Feb 2026; weekly HT City column</t>
        </is>
      </c>
      <c r="L6" s="15" t="inlineStr">
        <is>
          <t>https://www.exchange4media.com/announcements-news/sonal-kalra-to-launch-lifestyle-entertainment-news-show-142482.html</t>
        </is>
      </c>
      <c r="M6" s="6" t="inlineStr">
        <is>
          <t>Fit: Devyani (Delhi society, HT City); DHS events.</t>
        </is>
      </c>
    </row>
    <row r="7">
      <c r="A7" s="6" t="n">
        <v>3</v>
      </c>
      <c r="B7" s="6" t="inlineStr">
        <is>
          <t>Rohit Bhatnagar</t>
        </is>
      </c>
      <c r="C7" s="6" t="inlineStr">
        <is>
          <t>Entertainment Editor</t>
        </is>
      </c>
      <c r="D7" s="6" t="inlineStr">
        <is>
          <t>HT City, Delhi</t>
        </is>
      </c>
      <c r="E7" s="6" t="inlineStr">
        <is>
          <t>Celebrity interviews, entertainment</t>
        </is>
      </c>
      <c r="F7" s="6" t="inlineStr">
        <is>
          <t>New Delhi</t>
        </is>
      </c>
      <c r="G7" s="6" t="n"/>
      <c r="H7" s="6" t="n"/>
      <c r="I7" s="6" t="inlineStr">
        <is>
          <t>Not in lists</t>
        </is>
      </c>
      <c r="J7" s="14" t="inlineStr">
        <is>
          <t>Verified - current role</t>
        </is>
      </c>
      <c r="K7" s="6" t="inlineStr">
        <is>
          <t>Appointed Entertainment Editor, HT City Delhi (Aug 2025)</t>
        </is>
      </c>
      <c r="L7" s="15" t="inlineStr">
        <is>
          <t>https://www.exchange4media.com/people-movement-news/ht-city-delhi-appoints-rohit-bhatnagar-as-entertainment-editor-146845.html</t>
        </is>
      </c>
      <c r="M7" s="6" t="inlineStr">
        <is>
          <t>Fit: celebrity presence at DHS or Devyani events.</t>
        </is>
      </c>
    </row>
    <row r="8">
      <c r="A8" s="6" t="n">
        <v>4</v>
      </c>
      <c r="B8" s="6" t="inlineStr">
        <is>
          <t>Sneha Menon Desai</t>
        </is>
      </c>
      <c r="C8" s="6" t="inlineStr">
        <is>
          <t>Editor (from 1 Oct 2026)</t>
        </is>
      </c>
      <c r="D8" s="6" t="inlineStr">
        <is>
          <t>The Hollywood Reporter India</t>
        </is>
      </c>
      <c r="E8" s="6" t="inlineStr">
        <is>
          <t>Film, celebrity, entertainment business</t>
        </is>
      </c>
      <c r="F8" s="6" t="inlineStr">
        <is>
          <t>Mumbai</t>
        </is>
      </c>
      <c r="G8" s="6" t="n"/>
      <c r="H8" s="6" t="n"/>
      <c r="I8" s="6" t="inlineStr">
        <is>
          <t>Not in lists</t>
        </is>
      </c>
      <c r="J8" s="16" t="inlineStr">
        <is>
          <t>Verified - active 2026</t>
        </is>
      </c>
      <c r="K8" s="6" t="inlineStr">
        <is>
          <t>Appointed Editor effective 1 Oct 2026, succeeding Anupama Chopra</t>
        </is>
      </c>
      <c r="L8" s="15" t="inlineStr">
        <is>
          <t>https://www.exchange4media.com/people-movement-news/sneha-menon-desai-appointed-editor-of-the-hollywood-reporter-india-158673.html</t>
        </is>
      </c>
      <c r="M8" s="6" t="inlineStr">
        <is>
          <t>Fit only if a celebrity link exists (e.g. celebrity athlete or parent at DHS).</t>
        </is>
      </c>
    </row>
    <row r="9">
      <c r="A9" s="6" t="n">
        <v>5</v>
      </c>
      <c r="B9" s="6" t="inlineStr">
        <is>
          <t>Madhureeta Mukherjee</t>
        </is>
      </c>
      <c r="C9" s="6" t="inlineStr">
        <is>
          <t>Editor</t>
        </is>
      </c>
      <c r="D9" s="6" t="inlineStr">
        <is>
          <t>Bombay Times (The Times of India)</t>
        </is>
      </c>
      <c r="E9" s="6" t="inlineStr">
        <is>
          <t>Celebrity, society, entertainment</t>
        </is>
      </c>
      <c r="F9" s="6" t="inlineStr">
        <is>
          <t>Mumbai</t>
        </is>
      </c>
      <c r="G9" s="6" t="n"/>
      <c r="H9" s="6" t="n"/>
      <c r="I9" s="6" t="inlineStr">
        <is>
          <t>Not in lists</t>
        </is>
      </c>
      <c r="J9" s="17" t="inlineStr">
        <is>
          <t>To confirm</t>
        </is>
      </c>
      <c r="K9" s="6" t="inlineStr">
        <is>
          <t>Quoted as Bombay Times editor (Dec 2024); no 2026 evidence found</t>
        </is>
      </c>
      <c r="L9" s="15" t="inlineStr">
        <is>
          <t>https://www.exchange4media.com/media-print-news/bombay-times-and-mumbais-symphony-a-30-year-partnership-139634.html</t>
        </is>
      </c>
      <c r="M9" s="6" t="inlineStr">
        <is>
          <t>Mumbai society pages; confirm before use.</t>
        </is>
      </c>
    </row>
    <row r="10">
      <c r="A10" s="6" t="n">
        <v>6</v>
      </c>
      <c r="B10" s="6" t="inlineStr">
        <is>
          <t>Gajendra Singh Bhati</t>
        </is>
      </c>
      <c r="C10" s="6" t="inlineStr">
        <is>
          <t>Entertainment Editor</t>
        </is>
      </c>
      <c r="D10" s="6" t="inlineStr">
        <is>
          <t>The Indian Express (Hindi)</t>
        </is>
      </c>
      <c r="E10" s="6" t="inlineStr">
        <is>
          <t>Entertainment, celebrity</t>
        </is>
      </c>
      <c r="F10" s="6" t="inlineStr">
        <is>
          <t>Noida</t>
        </is>
      </c>
      <c r="G10" s="6" t="n"/>
      <c r="H10" s="6" t="n"/>
      <c r="I10" s="6" t="inlineStr">
        <is>
          <t>Not in lists</t>
        </is>
      </c>
      <c r="J10" s="14" t="inlineStr">
        <is>
          <t>Verified - current role</t>
        </is>
      </c>
      <c r="K10" s="6" t="inlineStr">
        <is>
          <t>Joined Indian Express (Hindi) as Entertainment Editor after a decade at The Lallantop</t>
        </is>
      </c>
      <c r="L10" s="15" t="inlineStr">
        <is>
          <t>https://www.exchange4media.com/people-movement-news/gajendra-singh-bhati-joins-the-indian-express-hindi-as-entertainment-editor-154435.html</t>
        </is>
      </c>
      <c r="M10" s="6" t="inlineStr">
        <is>
          <t>Hindi entertainment reach.</t>
        </is>
      </c>
    </row>
    <row r="11">
      <c r="A11" s="6" t="n">
        <v>7</v>
      </c>
      <c r="B11" s="6" t="inlineStr">
        <is>
          <t>Anindita Mukhopadhyay</t>
        </is>
      </c>
      <c r="C11" s="6" t="inlineStr">
        <is>
          <t>Chief Sub-Editor, leads Entertainment team</t>
        </is>
      </c>
      <c r="D11" s="6" t="inlineStr">
        <is>
          <t>India TV News</t>
        </is>
      </c>
      <c r="E11" s="6" t="inlineStr">
        <is>
          <t>Celebrity, entertainment</t>
        </is>
      </c>
      <c r="F11" s="6" t="inlineStr">
        <is>
          <t>Noida</t>
        </is>
      </c>
      <c r="G11" s="6" t="n"/>
      <c r="H11" s="6" t="n"/>
      <c r="I11" s="6" t="inlineStr">
        <is>
          <t>Not in lists</t>
        </is>
      </c>
      <c r="J11" s="14" t="inlineStr">
        <is>
          <t>Verified - current role</t>
        </is>
      </c>
      <c r="K11" s="6" t="inlineStr">
        <is>
          <t>India TV author page lists her as leading the entertainment team</t>
        </is>
      </c>
      <c r="L11" s="15" t="inlineStr">
        <is>
          <t>https://www.indiatvnews.com/author/anindita-mukhopadhyay/15</t>
        </is>
      </c>
      <c r="M11" s="6" t="inlineStr">
        <is>
          <t>Digital celebrity coverage.</t>
        </is>
      </c>
    </row>
  </sheetData>
  <autoFilter ref="A4:M11"/>
  <dataValidations count="1">
    <dataValidation sqref="J5:J11"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s>
  <sheetData>
    <row r="1">
      <c r="A1" s="1" t="inlineStr">
        <is>
          <t>Devyani - Luxury, Art, Biz</t>
        </is>
      </c>
    </row>
    <row r="2">
      <c r="A2" s="13" t="inlineStr">
        <is>
          <t>Other outlets that suit Devyani: luxury, art-collector, home and business-profile writers.</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row>
    <row r="5">
      <c r="A5" s="6" t="n">
        <v>1</v>
      </c>
      <c r="B5" s="6" t="inlineStr">
        <is>
          <t>Pankti Mehta Kadakia</t>
        </is>
      </c>
      <c r="C5" s="6" t="inlineStr">
        <is>
          <t>Deputy Editor</t>
        </is>
      </c>
      <c r="D5" s="6" t="inlineStr">
        <is>
          <t>Forbes India</t>
        </is>
      </c>
      <c r="E5" s="6" t="inlineStr">
        <is>
          <t>Luxury, hospitality, culture, education</t>
        </is>
      </c>
      <c r="F5" s="6" t="inlineStr">
        <is>
          <t>Mumbai</t>
        </is>
      </c>
      <c r="G5" s="6" t="inlineStr">
        <is>
          <t>9820741823</t>
        </is>
      </c>
      <c r="H5" s="6" t="inlineStr">
        <is>
          <t>pankti.mehta@nw18.com; pankti.mehta@gmail.com</t>
        </is>
      </c>
      <c r="I5" s="6" t="inlineStr">
        <is>
          <t>A &amp; M Media List; Education Media List</t>
        </is>
      </c>
      <c r="J5" s="16" t="inlineStr">
        <is>
          <t>Verified - active 2026</t>
        </is>
      </c>
      <c r="K5" s="6" t="inlineStr">
        <is>
          <t>2026 Forbes India bylines incl. AI and education; involved in 30 Under 30 2026</t>
        </is>
      </c>
      <c r="L5" s="15" t="inlineStr">
        <is>
          <t>https://www.forbesindia.com/author/pankti-mehta-kadakia/5205</t>
        </is>
      </c>
      <c r="M5" s="6" t="inlineStr">
        <is>
          <t>Fit: Devyani business profile; also DHS (education interest).</t>
        </is>
      </c>
    </row>
    <row r="6">
      <c r="A6" s="6" t="n">
        <v>2</v>
      </c>
      <c r="B6" s="6" t="inlineStr">
        <is>
          <t>Aindrila Mitra</t>
        </is>
      </c>
      <c r="C6" s="6" t="inlineStr">
        <is>
          <t>Editor</t>
        </is>
      </c>
      <c r="D6" s="6" t="inlineStr">
        <is>
          <t>Robb Report India (RPSG Lifestyle Media)</t>
        </is>
      </c>
      <c r="E6" s="6" t="inlineStr">
        <is>
          <t>Luxury, collectors, lifestyle</t>
        </is>
      </c>
      <c r="F6" s="6" t="inlineStr">
        <is>
          <t>Kolkata/Mumbai</t>
        </is>
      </c>
      <c r="G6" s="6" t="n"/>
      <c r="H6" s="6" t="n"/>
      <c r="I6" s="6" t="inlineStr">
        <is>
          <t>Not in lists</t>
        </is>
      </c>
      <c r="J6" s="16" t="inlineStr">
        <is>
          <t>Verified - active 2026</t>
        </is>
      </c>
      <c r="K6" s="6" t="inlineStr">
        <is>
          <t>Led Robb Report India first anniversary 'Chapter One: The Circle of Influence' (23-24 Aug 2026)</t>
        </is>
      </c>
      <c r="L6" s="15" t="inlineStr">
        <is>
          <t>https://www.esquireindia.co.in/food-and-drinks/what-to-eat/robb-report-india-turns-one-with-chapter-one-the-circle-of-influence-at-fairmont-udaipur-palace</t>
        </is>
      </c>
      <c r="M6" s="6" t="inlineStr">
        <is>
          <t>Fit: Devyani (art collection, luxury profile).</t>
        </is>
      </c>
    </row>
    <row r="7">
      <c r="A7" s="6" t="n">
        <v>3</v>
      </c>
      <c r="B7" s="6" t="inlineStr">
        <is>
          <t>Shradha Shahani</t>
        </is>
      </c>
      <c r="C7" s="6" t="inlineStr">
        <is>
          <t>Managing Editor</t>
        </is>
      </c>
      <c r="D7" s="6" t="inlineStr">
        <is>
          <t>Robb Report India</t>
        </is>
      </c>
      <c r="E7" s="6" t="inlineStr">
        <is>
          <t>Luxury lifestyle</t>
        </is>
      </c>
      <c r="F7" s="6" t="inlineStr">
        <is>
          <t>Mumbai</t>
        </is>
      </c>
      <c r="G7" s="6" t="n"/>
      <c r="H7" s="6" t="n"/>
      <c r="I7" s="6" t="inlineStr">
        <is>
          <t>Not in lists</t>
        </is>
      </c>
      <c r="J7" s="14" t="inlineStr">
        <is>
          <t>Verified - current role</t>
        </is>
      </c>
      <c r="K7" s="6" t="inlineStr">
        <is>
          <t>Appointed Managing Editor, Robb Report India</t>
        </is>
      </c>
      <c r="L7" s="15" t="inlineStr">
        <is>
          <t>https://www.exchange4media.com/people-movement-news/robb-report-india-appoints-shradha-shahani-as-managing-editor-145291.html</t>
        </is>
      </c>
      <c r="M7" s="6" t="inlineStr">
        <is>
          <t>Same outlet as above.</t>
        </is>
      </c>
    </row>
    <row r="8">
      <c r="A8" s="6" t="n">
        <v>4</v>
      </c>
      <c r="B8" s="6" t="inlineStr">
        <is>
          <t>Avantika Bhuyan</t>
        </is>
      </c>
      <c r="C8" s="6" t="inlineStr">
        <is>
          <t>Senior writer, art and culture (designation to confirm)</t>
        </is>
      </c>
      <c r="D8" s="6" t="inlineStr">
        <is>
          <t>Mint Lounge</t>
        </is>
      </c>
      <c r="E8" s="6" t="inlineStr">
        <is>
          <t>Contemporary art, design, culture</t>
        </is>
      </c>
      <c r="F8" s="6" t="inlineStr">
        <is>
          <t>New Delhi</t>
        </is>
      </c>
      <c r="G8" s="6" t="inlineStr">
        <is>
          <t>09873631002</t>
        </is>
      </c>
      <c r="H8" s="6" t="inlineStr">
        <is>
          <t>avantika.b@livemint.com; bhuyan.avantika@gmail.com</t>
        </is>
      </c>
      <c r="I8" s="6" t="inlineStr">
        <is>
          <t>Media List.xlsx (Financials sheet)</t>
        </is>
      </c>
      <c r="J8" s="14" t="inlineStr">
        <is>
          <t>Verified - current role</t>
        </is>
      </c>
      <c r="K8" s="6" t="inlineStr">
        <is>
          <t>Recent Mint Lounge art pieces (auto-narrative art, Sri Lankan artists, Sunder Nursery pavilion)</t>
        </is>
      </c>
      <c r="L8" s="15" t="inlineStr">
        <is>
          <t>https://muckrack.com/avantika-bhuyan/articles</t>
        </is>
      </c>
      <c r="M8" s="6" t="inlineStr">
        <is>
          <t>Top fit: Devyani art-collector story in Mint Lounge (named target in brief).</t>
        </is>
      </c>
    </row>
    <row r="9">
      <c r="A9" s="6" t="n">
        <v>5</v>
      </c>
      <c r="B9" s="6" t="inlineStr">
        <is>
          <t>Akshaya Pillai</t>
        </is>
      </c>
      <c r="C9" s="6" t="inlineStr">
        <is>
          <t>Writer, culture and art</t>
        </is>
      </c>
      <c r="D9" s="6" t="inlineStr">
        <is>
          <t>Harper's Bazaar India</t>
        </is>
      </c>
      <c r="E9" s="6" t="inlineStr">
        <is>
          <t>Art, collectors, biennales</t>
        </is>
      </c>
      <c r="F9" s="6" t="n"/>
      <c r="G9" s="6" t="n"/>
      <c r="H9" s="6" t="n"/>
      <c r="I9" s="6" t="inlineStr">
        <is>
          <t>Not in lists</t>
        </is>
      </c>
      <c r="J9" s="16" t="inlineStr">
        <is>
          <t>Verified - active 2026</t>
        </is>
      </c>
      <c r="K9" s="6" t="inlineStr">
        <is>
          <t>Byline: 'Inside the minds of India's next-generation art collectors' (22 Jan 2026)</t>
        </is>
      </c>
      <c r="L9" s="15" t="inlineStr">
        <is>
          <t>https://www.harpersbazaar.in/authors/akshaya-pillai</t>
        </is>
      </c>
      <c r="M9" s="6" t="inlineStr">
        <is>
          <t>Top fit: Devyani as an art collector.</t>
        </is>
      </c>
    </row>
    <row r="10">
      <c r="A10" s="6" t="n">
        <v>6</v>
      </c>
      <c r="B10" s="6" t="inlineStr">
        <is>
          <t>Dhamini Ratnam</t>
        </is>
      </c>
      <c r="C10" s="6" t="inlineStr">
        <is>
          <t>Journalist, art and culture</t>
        </is>
      </c>
      <c r="D10" s="6" t="inlineStr">
        <is>
          <t>Hindustan Times</t>
        </is>
      </c>
      <c r="E10" s="6" t="inlineStr">
        <is>
          <t>Art, culture</t>
        </is>
      </c>
      <c r="F10" s="6" t="inlineStr">
        <is>
          <t>New Delhi</t>
        </is>
      </c>
      <c r="G10" s="6" t="n"/>
      <c r="H10" s="6" t="n"/>
      <c r="I10" s="6" t="inlineStr">
        <is>
          <t>Not in lists</t>
        </is>
      </c>
      <c r="J10" s="16" t="inlineStr">
        <is>
          <t>Verified - active 2026</t>
        </is>
      </c>
      <c r="K10" s="6" t="inlineStr">
        <is>
          <t>Covered India Art Fair 2026 (HT, 4 Feb 2026)</t>
        </is>
      </c>
      <c r="L10" s="15" t="inlineStr">
        <is>
          <t>https://www.pressreader.com/india/hindustan-times-st-noida/20260204/281767045655792</t>
        </is>
      </c>
      <c r="M10" s="6" t="inlineStr">
        <is>
          <t>Fit: Devyani at India Art Fair or collection features.</t>
        </is>
      </c>
    </row>
    <row r="11">
      <c r="A11" s="6" t="n">
        <v>7</v>
      </c>
      <c r="B11" s="6" t="inlineStr">
        <is>
          <t>Deboshri Bera</t>
        </is>
      </c>
      <c r="C11" s="6" t="inlineStr">
        <is>
          <t>Strategist (Art)</t>
        </is>
      </c>
      <c r="D11" s="6" t="inlineStr">
        <is>
          <t>Vogue India</t>
        </is>
      </c>
      <c r="E11" s="6" t="inlineStr">
        <is>
          <t>Art</t>
        </is>
      </c>
      <c r="F11" s="6" t="inlineStr">
        <is>
          <t>Mumbai</t>
        </is>
      </c>
      <c r="G11" s="6" t="n"/>
      <c r="H11" s="6" t="n"/>
      <c r="I11" s="6" t="inlineStr">
        <is>
          <t>Not in lists</t>
        </is>
      </c>
      <c r="J11" s="16" t="inlineStr">
        <is>
          <t>Verified - active 2026</t>
        </is>
      </c>
      <c r="K11" s="6" t="inlineStr">
        <is>
          <t>Credited as Strategist (Art) in Vogue India Jan-Feb 2026 issue</t>
        </is>
      </c>
      <c r="L11" s="15" t="inlineStr">
        <is>
          <t>https://www.scribd.com/document/977838070/Vogue-India-January-February-2026</t>
        </is>
      </c>
      <c r="M11" s="6" t="inlineStr">
        <is>
          <t>Fit: Devyani art angle with Vogue.</t>
        </is>
      </c>
    </row>
    <row r="12">
      <c r="A12" s="6" t="n">
        <v>8</v>
      </c>
      <c r="B12" s="6" t="inlineStr">
        <is>
          <t>Bandana Tewari</t>
        </is>
      </c>
      <c r="C12" s="6" t="inlineStr">
        <is>
          <t>Freelance writer (former Vogue India Editor-at-Large)</t>
        </is>
      </c>
      <c r="D12" s="6" t="inlineStr">
        <is>
          <t>Architectural Digest India, Business of Fashion, NYT</t>
        </is>
      </c>
      <c r="E12" s="6" t="inlineStr">
        <is>
          <t>Art, craft, homes, fashion</t>
        </is>
      </c>
      <c r="F12" s="6" t="n"/>
      <c r="G12" s="6" t="n"/>
      <c r="H12" s="6" t="n"/>
      <c r="I12" s="6" t="inlineStr">
        <is>
          <t>Not in lists</t>
        </is>
      </c>
      <c r="J12" s="16" t="inlineStr">
        <is>
          <t>Verified - active 2026</t>
        </is>
      </c>
      <c r="K12" s="6" t="inlineStr">
        <is>
          <t>Wrote AD India's Jul-Aug 2026 cover story (Rajeev Sethi home-studio, Delhi)</t>
        </is>
      </c>
      <c r="L12" s="15" t="inlineStr">
        <is>
          <t>https://www.zinio.com/in/publications/architectural-digest-india/5361</t>
        </is>
      </c>
      <c r="M12" s="6" t="inlineStr">
        <is>
          <t>Fit: Devyani home-and-art-collection feature (AD India).</t>
        </is>
      </c>
    </row>
    <row r="13">
      <c r="A13" s="6" t="n">
        <v>9</v>
      </c>
      <c r="B13" s="6" t="inlineStr">
        <is>
          <t>Shrabonti Bagchi</t>
        </is>
      </c>
      <c r="C13" s="6" t="inlineStr">
        <is>
          <t>Independent writer (left Mint Lounge, Mar 2026)</t>
        </is>
      </c>
      <c r="D13" s="6" t="inlineStr">
        <is>
          <t>Freelance</t>
        </is>
      </c>
      <c r="E13" s="6" t="inlineStr">
        <is>
          <t>Features, culture, profiles</t>
        </is>
      </c>
      <c r="F13" s="6" t="inlineStr">
        <is>
          <t>Bengaluru (to confirm)</t>
        </is>
      </c>
      <c r="G13" s="6" t="n"/>
      <c r="H13" s="6" t="n"/>
      <c r="I13" s="6" t="inlineStr">
        <is>
          <t>Not in lists</t>
        </is>
      </c>
      <c r="J13" s="18" t="inlineStr">
        <is>
          <t>Moved - updated</t>
        </is>
      </c>
      <c r="K13" s="6" t="inlineStr">
        <is>
          <t>Last day at Mint as National Features Editor on 9 Mar 2026; now writing independently</t>
        </is>
      </c>
      <c r="L13" s="15" t="inlineStr">
        <is>
          <t>https://x.com/Shrabonti/status/2030894494447710494</t>
        </is>
      </c>
      <c r="M13" s="6" t="inlineStr">
        <is>
          <t>Possible freelance commission for a long-form profile.</t>
        </is>
      </c>
    </row>
    <row r="14">
      <c r="A14" s="6" t="n">
        <v>10</v>
      </c>
      <c r="B14" s="6" t="inlineStr">
        <is>
          <t>Suveen Sinha</t>
        </is>
      </c>
      <c r="C14" s="6" t="inlineStr">
        <is>
          <t>Editor</t>
        </is>
      </c>
      <c r="D14" s="6" t="inlineStr">
        <is>
          <t>Forbes India</t>
        </is>
      </c>
      <c r="E14" s="6" t="inlineStr">
        <is>
          <t>Business</t>
        </is>
      </c>
      <c r="F14" s="6" t="inlineStr">
        <is>
          <t>Mumbai</t>
        </is>
      </c>
      <c r="G14" s="6" t="n"/>
      <c r="H14" s="6" t="n"/>
      <c r="I14" s="6" t="inlineStr">
        <is>
          <t>Not in lists</t>
        </is>
      </c>
      <c r="J14" s="17" t="inlineStr">
        <is>
          <t>To confirm</t>
        </is>
      </c>
      <c r="K14" s="6" t="inlineStr">
        <is>
          <t>Named as Forbes India editor in 2026 search results; not independently confirmed</t>
        </is>
      </c>
      <c r="L14" s="15" t="inlineStr">
        <is>
          <t>https://www.forbesindia.com/lists/w-power-2026</t>
        </is>
      </c>
      <c r="M14" s="6" t="inlineStr">
        <is>
          <t>Forbes India W-Power 2026 list is a reference point for Devyani's business track.</t>
        </is>
      </c>
    </row>
  </sheetData>
  <autoFilter ref="A4:M14"/>
  <dataValidations count="1">
    <dataValidation sqref="J5:J14"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s>
  <sheetData>
    <row r="1">
      <c r="A1" s="1" t="inlineStr">
        <is>
          <t>DHS - Delhi NCR Education</t>
        </is>
      </c>
    </row>
    <row r="2">
      <c r="A2" s="13" t="inlineStr">
        <is>
          <t>Delhi NCR education journalists for Dharav High School, Gurugram (admissions season from October).</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row>
    <row r="5">
      <c r="A5" s="6" t="n">
        <v>1</v>
      </c>
      <c r="B5" s="6" t="inlineStr">
        <is>
          <t>Fareeha Iftikhar</t>
        </is>
      </c>
      <c r="C5" s="6" t="inlineStr">
        <is>
          <t>Assistant Editor, leads education coverage</t>
        </is>
      </c>
      <c r="D5" s="6" t="inlineStr">
        <is>
          <t>ThePrint</t>
        </is>
      </c>
      <c r="E5" s="6" t="inlineStr">
        <is>
          <t>Education (school and higher-ed policy)</t>
        </is>
      </c>
      <c r="F5" s="6" t="inlineStr">
        <is>
          <t>New Delhi</t>
        </is>
      </c>
      <c r="G5" s="6" t="inlineStr">
        <is>
          <t>9560325287</t>
        </is>
      </c>
      <c r="H5" s="6" t="inlineStr">
        <is>
          <t>fareeha.iftikhar@theprint.in; iftikharfareeha27@gmail.com</t>
        </is>
      </c>
      <c r="I5" s="6" t="inlineStr">
        <is>
          <t>Education Media List (ThePrint row); old HT row outdated</t>
        </is>
      </c>
      <c r="J5" s="18" t="inlineStr">
        <is>
          <t>Moved - updated</t>
        </is>
      </c>
      <c r="K5" s="6" t="inlineStr">
        <is>
          <t>Joined ThePrint Aug 2024 to lead education; writing on education in 2026</t>
        </is>
      </c>
      <c r="L5" s="15" t="inlineStr">
        <is>
          <t>https://theprint.in/author/fareeha-iftikhar/</t>
        </is>
      </c>
      <c r="M5" s="6" t="inlineStr">
        <is>
          <t>Do not use fareeha.iftikhar@htdigital.in (still in two of your lists).</t>
        </is>
      </c>
    </row>
    <row r="6">
      <c r="A6" s="6" t="n">
        <v>2</v>
      </c>
      <c r="B6" s="6" t="inlineStr">
        <is>
          <t>Manash Pratim Gohain</t>
        </is>
      </c>
      <c r="C6" s="6" t="inlineStr">
        <is>
          <t>Senior Assistant Editor</t>
        </is>
      </c>
      <c r="D6" s="6" t="inlineStr">
        <is>
          <t>The Times of India</t>
        </is>
      </c>
      <c r="E6" s="6" t="inlineStr">
        <is>
          <t>Education policy (NEP, school and higher ed)</t>
        </is>
      </c>
      <c r="F6" s="6" t="inlineStr">
        <is>
          <t>New Delhi</t>
        </is>
      </c>
      <c r="G6" s="6" t="inlineStr">
        <is>
          <t>9873685063</t>
        </is>
      </c>
      <c r="H6" s="6" t="inlineStr">
        <is>
          <t>manash.gohain@timesgroup.com; manashpratimgohain@gmail.com</t>
        </is>
      </c>
      <c r="I6" s="6" t="inlineStr">
        <is>
          <t>Education Media List; Robust Education Media List</t>
        </is>
      </c>
      <c r="J6" s="16" t="inlineStr">
        <is>
          <t>Verified - active 2026</t>
        </is>
      </c>
      <c r="K6" s="6" t="inlineStr">
        <is>
          <t>20+ years on TOI education beat; NEP coverage referenced Jun 2026</t>
        </is>
      </c>
      <c r="L6" s="15" t="inlineStr">
        <is>
          <t>https://journalarta.com/news/2026/06/29/manash-pratim-gohain-liputan-nep-2020/?all=1</t>
        </is>
      </c>
      <c r="M6" s="6" t="inlineStr">
        <is>
          <t>Fit: DHS sports infrastructure + grassroots athlete policy (Khelo India, 2036 Olympics).</t>
        </is>
      </c>
    </row>
    <row r="7">
      <c r="A7" s="6" t="n">
        <v>3</v>
      </c>
      <c r="B7" s="6" t="inlineStr">
        <is>
          <t>Priyanka Srivastava</t>
        </is>
      </c>
      <c r="C7" s="6" t="inlineStr">
        <is>
          <t>Senior Editor, Education Times</t>
        </is>
      </c>
      <c r="D7" s="6" t="inlineStr">
        <is>
          <t>The Times of India (Education Times)</t>
        </is>
      </c>
      <c r="E7" s="6" t="inlineStr">
        <is>
          <t>Education (national editor, 27 editions)</t>
        </is>
      </c>
      <c r="F7" s="6" t="inlineStr">
        <is>
          <t>New Delhi</t>
        </is>
      </c>
      <c r="G7" s="6" t="inlineStr">
        <is>
          <t>9811861245</t>
        </is>
      </c>
      <c r="H7" s="6" t="inlineStr">
        <is>
          <t>priyanka.srivastava@timesgroup.com</t>
        </is>
      </c>
      <c r="I7" s="6" t="inlineStr">
        <is>
          <t>Education Media List; Robust Education Media List</t>
        </is>
      </c>
      <c r="J7" s="14" t="inlineStr">
        <is>
          <t>Verified - current role</t>
        </is>
      </c>
      <c r="K7" s="6" t="inlineStr">
        <is>
          <t>Profile: Senior Editor, Education Times, TOI</t>
        </is>
      </c>
      <c r="L7" s="15" t="inlineStr">
        <is>
          <t>https://theorg.com/org/the-times-of-india/org-chart/priyanka-srivastava</t>
        </is>
      </c>
      <c r="M7" s="6" t="inlineStr">
        <is>
          <t>Fit: DHS principal interview (Ritu Jawa), admissions-season features.</t>
        </is>
      </c>
    </row>
    <row r="8">
      <c r="A8" s="6" t="n">
        <v>4</v>
      </c>
      <c r="B8" s="6" t="inlineStr">
        <is>
          <t>Rajlakshmi Ghosh</t>
        </is>
      </c>
      <c r="C8" s="6" t="inlineStr">
        <is>
          <t>Senior Editor / Assistant Editor</t>
        </is>
      </c>
      <c r="D8" s="6" t="inlineStr">
        <is>
          <t>The Times of India (Education Times)</t>
        </is>
      </c>
      <c r="E8" s="6" t="inlineStr">
        <is>
          <t>School and higher education</t>
        </is>
      </c>
      <c r="F8" s="6" t="inlineStr">
        <is>
          <t>New Delhi / Faridabad</t>
        </is>
      </c>
      <c r="G8" s="6" t="inlineStr">
        <is>
          <t>9810268942</t>
        </is>
      </c>
      <c r="H8" s="6" t="inlineStr">
        <is>
          <t>rajlakshmi.ghosh@timesgroup.com</t>
        </is>
      </c>
      <c r="I8" s="6" t="inlineStr">
        <is>
          <t>Education Media List; Robust Education Media List</t>
        </is>
      </c>
      <c r="J8" s="14" t="inlineStr">
        <is>
          <t>Verified - current role</t>
        </is>
      </c>
      <c r="K8" s="6" t="inlineStr">
        <is>
          <t>Regular Education Times bylines on curriculum and school issues</t>
        </is>
      </c>
      <c r="L8" s="15" t="inlineStr">
        <is>
          <t>https://muckrack.com/rajlakshmi-ghosh/articles</t>
        </is>
      </c>
      <c r="M8" s="6" t="inlineStr">
        <is>
          <t>Fit: DHS curriculum and sports-integrated learning.</t>
        </is>
      </c>
    </row>
    <row r="9">
      <c r="A9" s="6" t="n">
        <v>5</v>
      </c>
      <c r="B9" s="6" t="inlineStr">
        <is>
          <t>Sonal Srivastava</t>
        </is>
      </c>
      <c r="C9" s="6" t="inlineStr">
        <is>
          <t>Senior Assistant Editor</t>
        </is>
      </c>
      <c r="D9" s="6" t="inlineStr">
        <is>
          <t>The Times of India (Education Times)</t>
        </is>
      </c>
      <c r="E9" s="6" t="inlineStr">
        <is>
          <t>Education</t>
        </is>
      </c>
      <c r="F9" s="6" t="inlineStr">
        <is>
          <t>Noida</t>
        </is>
      </c>
      <c r="G9" s="6" t="inlineStr">
        <is>
          <t>9871576637 / 9899927448</t>
        </is>
      </c>
      <c r="H9" s="6" t="inlineStr">
        <is>
          <t>Sonal.Srivastava@timesgroup.com; srivastava.sonal296@gmail.com</t>
        </is>
      </c>
      <c r="I9" s="6" t="inlineStr">
        <is>
          <t>Education Media List; Robust Education Media List</t>
        </is>
      </c>
      <c r="J9" s="14" t="inlineStr">
        <is>
          <t>Verified - current role</t>
        </is>
      </c>
      <c r="K9" s="6" t="inlineStr">
        <is>
          <t>Education Times bylines and interviews (muckrack)</t>
        </is>
      </c>
      <c r="L9" s="15" t="inlineStr">
        <is>
          <t>https://muckrack.com/sonal-srivastava</t>
        </is>
      </c>
      <c r="M9" s="6" t="inlineStr">
        <is>
          <t>Two mobiles appear in your lists; confirm which is current.</t>
        </is>
      </c>
    </row>
    <row r="10">
      <c r="A10" s="6" t="n">
        <v>6</v>
      </c>
      <c r="B10" s="6" t="inlineStr">
        <is>
          <t>Neeti Nigam</t>
        </is>
      </c>
      <c r="C10" s="6" t="inlineStr">
        <is>
          <t>Senior Assistant Editor, education vertical</t>
        </is>
      </c>
      <c r="D10" s="6" t="inlineStr">
        <is>
          <t>The Indian Express</t>
        </is>
      </c>
      <c r="E10" s="6" t="inlineStr">
        <is>
          <t>Education</t>
        </is>
      </c>
      <c r="F10" s="6" t="inlineStr">
        <is>
          <t>Noida</t>
        </is>
      </c>
      <c r="G10" s="6" t="inlineStr">
        <is>
          <t>9899843905</t>
        </is>
      </c>
      <c r="H10" s="6" t="inlineStr">
        <is>
          <t>neeti.nigam@indianexpress.com</t>
        </is>
      </c>
      <c r="I10" s="6" t="inlineStr">
        <is>
          <t>Education Media List; Robust Education Media List</t>
        </is>
      </c>
      <c r="J10" s="14" t="inlineStr">
        <is>
          <t>Verified - current role</t>
        </is>
      </c>
      <c r="K10" s="6" t="inlineStr">
        <is>
          <t>Senior Assistant Editor running IE's education vertical (LinkedIn, X)</t>
        </is>
      </c>
      <c r="L10" s="15" t="inlineStr">
        <is>
          <t>https://muckrack.com/neeti-nigam/articles</t>
        </is>
      </c>
      <c r="M10" s="6" t="inlineStr">
        <is>
          <t>Fit: DHS press releases and admissions stories.</t>
        </is>
      </c>
    </row>
    <row r="11">
      <c r="A11" s="6" t="n">
        <v>7</v>
      </c>
      <c r="B11" s="6" t="inlineStr">
        <is>
          <t>Deeksha Teri</t>
        </is>
      </c>
      <c r="C11" s="6" t="inlineStr">
        <is>
          <t>Sub-Editor, education</t>
        </is>
      </c>
      <c r="D11" s="6" t="inlineStr">
        <is>
          <t>The Indian Express</t>
        </is>
      </c>
      <c r="E11" s="6" t="inlineStr">
        <is>
          <t>School governance, education policy, campus life</t>
        </is>
      </c>
      <c r="F11" s="6" t="inlineStr">
        <is>
          <t>New Delhi</t>
        </is>
      </c>
      <c r="G11" s="6" t="inlineStr">
        <is>
          <t>8377977749</t>
        </is>
      </c>
      <c r="H11" s="6" t="inlineStr">
        <is>
          <t>deeksha.teri@indianexpress.com</t>
        </is>
      </c>
      <c r="I11" s="6" t="inlineStr">
        <is>
          <t>Robust Education Media List</t>
        </is>
      </c>
      <c r="J11" s="14" t="inlineStr">
        <is>
          <t>Verified - current role</t>
        </is>
      </c>
      <c r="K11" s="6" t="inlineStr">
        <is>
          <t>LinkedIn/muckrack: Sub-Editor at IE handling education copy</t>
        </is>
      </c>
      <c r="L11" s="15" t="inlineStr">
        <is>
          <t>https://muckrack.com/deeksha-teri/articles</t>
        </is>
      </c>
      <c r="M11" s="6" t="inlineStr">
        <is>
          <t>Also wrote for Times Now; confirm desk.</t>
        </is>
      </c>
    </row>
    <row r="12">
      <c r="A12" s="6" t="n">
        <v>8</v>
      </c>
      <c r="B12" s="6" t="inlineStr">
        <is>
          <t>Ritika Chopra</t>
        </is>
      </c>
      <c r="C12" s="6" t="inlineStr">
        <is>
          <t>Senior journalist, national bureau</t>
        </is>
      </c>
      <c r="D12" s="6" t="inlineStr">
        <is>
          <t>The Indian Express</t>
        </is>
      </c>
      <c r="E12" s="6" t="inlineStr">
        <is>
          <t>Governance, policy (covered Education Ministry)</t>
        </is>
      </c>
      <c r="F12" s="6" t="inlineStr">
        <is>
          <t>New Delhi</t>
        </is>
      </c>
      <c r="G12" s="6" t="inlineStr">
        <is>
          <t>9810332214</t>
        </is>
      </c>
      <c r="H12" s="6" t="inlineStr">
        <is>
          <t>ritika.chopra@expressindia.com</t>
        </is>
      </c>
      <c r="I12" s="6" t="inlineStr">
        <is>
          <t>Education Media List</t>
        </is>
      </c>
      <c r="J12" s="17" t="inlineStr">
        <is>
          <t>To confirm</t>
        </is>
      </c>
      <c r="K12" s="6" t="inlineStr">
        <is>
          <t>Long-time IE reporter on education ministry and Election Commission; current beat not confirmed</t>
        </is>
      </c>
      <c r="L12" s="6" t="n"/>
      <c r="M12" s="6" t="inlineStr">
        <is>
          <t>Policy-level only; use for DHS grassroots-sport policy angle if she is still on education.</t>
        </is>
      </c>
    </row>
    <row r="13">
      <c r="A13" s="6" t="n">
        <v>9</v>
      </c>
      <c r="B13" s="6" t="inlineStr">
        <is>
          <t>Prachi Verma</t>
        </is>
      </c>
      <c r="C13" s="6" t="inlineStr">
        <is>
          <t>Senior Assistant Editor</t>
        </is>
      </c>
      <c r="D13" s="6" t="inlineStr">
        <is>
          <t>The Economic Times</t>
        </is>
      </c>
      <c r="E13" s="6" t="inlineStr">
        <is>
          <t>HR and education</t>
        </is>
      </c>
      <c r="F13" s="6" t="inlineStr">
        <is>
          <t>New Delhi</t>
        </is>
      </c>
      <c r="G13" s="6" t="inlineStr">
        <is>
          <t>9891002930</t>
        </is>
      </c>
      <c r="H13" s="6" t="inlineStr">
        <is>
          <t>prachi.verma@timesgroup.com; prachi11atwork@gmail.com</t>
        </is>
      </c>
      <c r="I13" s="6" t="inlineStr">
        <is>
          <t>Education Media List; Robust Education Media List</t>
        </is>
      </c>
      <c r="J13" s="16" t="inlineStr">
        <is>
          <t>Verified - active 2026</t>
        </is>
      </c>
      <c r="K13" s="6" t="inlineStr">
        <is>
          <t>Bylines on overseas study trends (Jan and Mar 2026)</t>
        </is>
      </c>
      <c r="L13" s="15" t="inlineStr">
        <is>
          <t>https://muckrack.com/prachivermaet/articles</t>
        </is>
      </c>
      <c r="M13" s="6" t="inlineStr">
        <is>
          <t>Fit: DHS founder or principal voice on future-ready schooling.</t>
        </is>
      </c>
    </row>
    <row r="14">
      <c r="A14" s="6" t="n">
        <v>10</v>
      </c>
      <c r="B14" s="6" t="inlineStr">
        <is>
          <t>Abhishek Sahu</t>
        </is>
      </c>
      <c r="C14" s="6" t="inlineStr">
        <is>
          <t>Principal Correspondent</t>
        </is>
      </c>
      <c r="D14" s="6" t="inlineStr">
        <is>
          <t>The Economic Times</t>
        </is>
      </c>
      <c r="E14" s="6" t="inlineStr">
        <is>
          <t>HR and education</t>
        </is>
      </c>
      <c r="F14" s="6" t="inlineStr">
        <is>
          <t>New Delhi</t>
        </is>
      </c>
      <c r="G14" s="6" t="inlineStr">
        <is>
          <t>9140230761</t>
        </is>
      </c>
      <c r="H14" s="6" t="n"/>
      <c r="I14" s="6" t="inlineStr">
        <is>
          <t>Education Media List; Robust Education Media List (Moneycontrol rows outdated)</t>
        </is>
      </c>
      <c r="J14" s="18" t="inlineStr">
        <is>
          <t>Moved - updated</t>
        </is>
      </c>
      <c r="K14" s="6" t="inlineStr">
        <is>
          <t>Now Principal Correspondent at ET covering HR and education; previously Moneycontrol</t>
        </is>
      </c>
      <c r="L14" s="15" t="inlineStr">
        <is>
          <t>https://muckrack.com/abhishek-sahu-2/articles</t>
        </is>
      </c>
      <c r="M14" s="6" t="inlineStr">
        <is>
          <t>Do not use Abhishek.Sahu@nw18.com. ET email not in your lists.</t>
        </is>
      </c>
    </row>
    <row r="15">
      <c r="A15" s="6" t="n">
        <v>11</v>
      </c>
      <c r="B15" s="6" t="inlineStr">
        <is>
          <t>Puniti Pandey</t>
        </is>
      </c>
      <c r="C15" s="6" t="inlineStr">
        <is>
          <t>Senior Sub Editor, education</t>
        </is>
      </c>
      <c r="D15" s="6" t="inlineStr">
        <is>
          <t>NDTV</t>
        </is>
      </c>
      <c r="E15" s="6" t="inlineStr">
        <is>
          <t>Education (CBSE, boards, admissions)</t>
        </is>
      </c>
      <c r="F15" s="6" t="inlineStr">
        <is>
          <t>New Delhi</t>
        </is>
      </c>
      <c r="G15" s="6" t="inlineStr">
        <is>
          <t>9560071458</t>
        </is>
      </c>
      <c r="H15" s="6" t="inlineStr">
        <is>
          <t>punitip@ndtv.com; punitipandey.2@gmail.com</t>
        </is>
      </c>
      <c r="I15" s="6" t="inlineStr">
        <is>
          <t>Robust Education Media List; Education Media List</t>
        </is>
      </c>
      <c r="J15" s="16" t="inlineStr">
        <is>
          <t>Verified - active 2026</t>
        </is>
      </c>
      <c r="K15" s="6" t="inlineStr">
        <is>
          <t>2026 bylines on CBSE Board Exams 2026 and admissions</t>
        </is>
      </c>
      <c r="L15" s="15" t="inlineStr">
        <is>
          <t>https://muckrack.com/puniti-pandey/articles</t>
        </is>
      </c>
      <c r="M15" s="6" t="inlineStr">
        <is>
          <t>puniti.pandey@timesgroup.com in one list is an old address.</t>
        </is>
      </c>
    </row>
    <row r="16">
      <c r="A16" s="6" t="n">
        <v>12</v>
      </c>
      <c r="B16" s="6" t="inlineStr">
        <is>
          <t>Sukanya Nandy</t>
        </is>
      </c>
      <c r="C16" s="6" t="inlineStr">
        <is>
          <t>Sub Editor, education</t>
        </is>
      </c>
      <c r="D16" s="6" t="inlineStr">
        <is>
          <t>CNN-News18</t>
        </is>
      </c>
      <c r="E16" s="6" t="inlineStr">
        <is>
          <t>Education (exam results, CBSE, CUET)</t>
        </is>
      </c>
      <c r="F16" s="6" t="inlineStr">
        <is>
          <t>New Delhi</t>
        </is>
      </c>
      <c r="G16" s="6" t="inlineStr">
        <is>
          <t>8527888004</t>
        </is>
      </c>
      <c r="H16" s="6" t="inlineStr">
        <is>
          <t>sukanya.nandy@nw18.com; sukanyanandy15@gmail.com</t>
        </is>
      </c>
      <c r="I16" s="6" t="inlineStr">
        <is>
          <t>Education Media List; Robust Education Media List</t>
        </is>
      </c>
      <c r="J16" s="16" t="inlineStr">
        <is>
          <t>Verified - active 2026</t>
        </is>
      </c>
      <c r="K16" s="6" t="inlineStr">
        <is>
          <t>Education desk at News18; profile active Feb 2026</t>
        </is>
      </c>
      <c r="L16" s="15" t="inlineStr">
        <is>
          <t>https://intelligentrelations.com/journalist/sukanya-nandy/</t>
        </is>
      </c>
      <c r="M16" s="6" t="inlineStr">
        <is>
          <t>Fit: DHS news releases.</t>
        </is>
      </c>
    </row>
    <row r="17">
      <c r="A17" s="6" t="n">
        <v>13</v>
      </c>
      <c r="B17" s="6" t="inlineStr">
        <is>
          <t>Vatsala Shrangi</t>
        </is>
      </c>
      <c r="C17" s="6" t="inlineStr">
        <is>
          <t>Assistant Editor</t>
        </is>
      </c>
      <c r="D17" s="6" t="inlineStr">
        <is>
          <t>CNN-News18</t>
        </is>
      </c>
      <c r="E17" s="6" t="inlineStr">
        <is>
          <t>Education policy (PM-SHRI, IITs, NEP)</t>
        </is>
      </c>
      <c r="F17" s="6" t="inlineStr">
        <is>
          <t>New Delhi</t>
        </is>
      </c>
      <c r="G17" s="6" t="inlineStr">
        <is>
          <t>9999692270</t>
        </is>
      </c>
      <c r="H17" s="6" t="inlineStr">
        <is>
          <t>Vatsala.Shrangi@ibnlive.com</t>
        </is>
      </c>
      <c r="I17" s="6" t="inlineStr">
        <is>
          <t>Robust Education Media List</t>
        </is>
      </c>
      <c r="J17" s="17" t="inlineStr">
        <is>
          <t>To confirm</t>
        </is>
      </c>
      <c r="K17" s="6" t="inlineStr">
        <is>
          <t>News18 education bylines; one 2025 source calls her 'formerly' a journalist</t>
        </is>
      </c>
      <c r="L17" s="15" t="inlineStr">
        <is>
          <t>https://buzzsumo.com/journalist/vatsala-shrangi-92753796/</t>
        </is>
      </c>
      <c r="M17" s="6" t="inlineStr">
        <is>
          <t>Confirm she is still at News18.</t>
        </is>
      </c>
    </row>
    <row r="18">
      <c r="A18" s="6" t="n">
        <v>14</v>
      </c>
      <c r="B18" s="6" t="inlineStr">
        <is>
          <t>Upasana Sharan</t>
        </is>
      </c>
      <c r="C18" s="6" t="inlineStr">
        <is>
          <t>Principal / Senior Copy Editor, education vertical</t>
        </is>
      </c>
      <c r="D18" s="6" t="inlineStr">
        <is>
          <t>BW Businessworld (BW Education)</t>
        </is>
      </c>
      <c r="E18" s="6" t="inlineStr">
        <is>
          <t>Education</t>
        </is>
      </c>
      <c r="F18" s="6" t="inlineStr">
        <is>
          <t>New Delhi</t>
        </is>
      </c>
      <c r="G18" s="6" t="inlineStr">
        <is>
          <t>7739174388</t>
        </is>
      </c>
      <c r="H18" s="6" t="inlineStr">
        <is>
          <t>upasana@businessworld.in; upasanasharan1995@gmail.com</t>
        </is>
      </c>
      <c r="I18" s="6" t="inlineStr">
        <is>
          <t>Education Media List; Robust Education Media List</t>
        </is>
      </c>
      <c r="J18" s="14" t="inlineStr">
        <is>
          <t>Verified - current role</t>
        </is>
      </c>
      <c r="K18" s="6" t="inlineStr">
        <is>
          <t>Handles BW Education vertical (author pages)</t>
        </is>
      </c>
      <c r="L18" s="15" t="inlineStr">
        <is>
          <t>http://bweducation.businessworld.in/author/BW-Reporters/Upasana-87081/</t>
        </is>
      </c>
      <c r="M18" s="6" t="inlineStr">
        <is>
          <t>BW Education already carried DHS coverage; good repeat target.</t>
        </is>
      </c>
    </row>
    <row r="19">
      <c r="A19" s="6" t="n">
        <v>15</v>
      </c>
      <c r="B19" s="6" t="inlineStr">
        <is>
          <t>Devina Sengupta</t>
        </is>
      </c>
      <c r="C19" s="6" t="inlineStr">
        <is>
          <t>Deputy Editor</t>
        </is>
      </c>
      <c r="D19" s="6" t="inlineStr">
        <is>
          <t>Mint</t>
        </is>
      </c>
      <c r="E19" s="6" t="inlineStr">
        <is>
          <t>HR, workplace, edtech</t>
        </is>
      </c>
      <c r="F19" s="6" t="inlineStr">
        <is>
          <t>Mumbai</t>
        </is>
      </c>
      <c r="G19" s="6" t="inlineStr">
        <is>
          <t>9820463438</t>
        </is>
      </c>
      <c r="H19" s="6" t="inlineStr">
        <is>
          <t>devina.sengupta@livemint.com; devinasengupta@gmail.com</t>
        </is>
      </c>
      <c r="I19" s="6" t="inlineStr">
        <is>
          <t>Robust Education Media List</t>
        </is>
      </c>
      <c r="J19" s="14" t="inlineStr">
        <is>
          <t>Verified - current role</t>
        </is>
      </c>
      <c r="K19" s="6" t="inlineStr">
        <is>
          <t>Listed as Deputy Editor, HR/workplace/edtech on Mint journalist directory</t>
        </is>
      </c>
      <c r="L19" s="15" t="inlineStr">
        <is>
          <t>https://muckrack.com/media-outlet/livemint</t>
        </is>
      </c>
      <c r="M19" s="6" t="inlineStr">
        <is>
          <t>Mumbai-based but national; Mint is the only national business daily on this sheet.</t>
        </is>
      </c>
    </row>
    <row r="20">
      <c r="A20" s="6" t="n">
        <v>16</v>
      </c>
      <c r="B20" s="6" t="inlineStr">
        <is>
          <t>Sakshi Gupta</t>
        </is>
      </c>
      <c r="C20" s="6" t="inlineStr">
        <is>
          <t>Senior Content Developer</t>
        </is>
      </c>
      <c r="D20" s="6" t="inlineStr">
        <is>
          <t>Careers360</t>
        </is>
      </c>
      <c r="E20" s="6" t="inlineStr">
        <is>
          <t>School education, students, teachers</t>
        </is>
      </c>
      <c r="F20" s="6" t="inlineStr">
        <is>
          <t>Ghaziabad (NCR)</t>
        </is>
      </c>
      <c r="G20" s="6" t="inlineStr">
        <is>
          <t>9899997644</t>
        </is>
      </c>
      <c r="H20" s="6" t="n"/>
      <c r="I20" s="6" t="inlineStr">
        <is>
          <t>Education Media List (Free Press Journal row outdated)</t>
        </is>
      </c>
      <c r="J20" s="18" t="inlineStr">
        <is>
          <t>Moved - updated</t>
        </is>
      </c>
      <c r="K20" s="6" t="inlineStr">
        <is>
          <t>Careers360 author page; previously Free Press Journal</t>
        </is>
      </c>
      <c r="L20" s="15" t="inlineStr">
        <is>
          <t>https://news.careers360.com/author/sakshi-gupta</t>
        </is>
      </c>
      <c r="M20" s="6" t="inlineStr">
        <is>
          <t>Do not use sakshi@freepressjournal.in. Careers360 email not in your lists.</t>
        </is>
      </c>
    </row>
    <row r="21">
      <c r="A21" s="6" t="n">
        <v>17</v>
      </c>
      <c r="B21" s="6" t="inlineStr">
        <is>
          <t>Nidhi Mittal</t>
        </is>
      </c>
      <c r="C21" s="6" t="inlineStr">
        <is>
          <t>Chief Sub Editor (English), education</t>
        </is>
      </c>
      <c r="D21" s="6" t="inlineStr">
        <is>
          <t>India TV</t>
        </is>
      </c>
      <c r="E21" s="6" t="inlineStr">
        <is>
          <t>Education</t>
        </is>
      </c>
      <c r="F21" s="6" t="inlineStr">
        <is>
          <t>New Delhi</t>
        </is>
      </c>
      <c r="G21" s="6" t="inlineStr">
        <is>
          <t>8860628209</t>
        </is>
      </c>
      <c r="H21" s="6" t="inlineStr">
        <is>
          <t>nidhimittal@indiatvnews.com; mittal.nidhi5@gmail.com</t>
        </is>
      </c>
      <c r="I21" s="6" t="inlineStr">
        <is>
          <t>Education Media List; Robust Education Media List</t>
        </is>
      </c>
      <c r="J21" s="17" t="inlineStr">
        <is>
          <t>To confirm</t>
        </is>
      </c>
      <c r="K21" s="6" t="inlineStr">
        <is>
          <t>India TV author page lists education stories; a LinkedIn profile shows a different employer</t>
        </is>
      </c>
      <c r="L21" s="15" t="inlineStr">
        <is>
          <t>https://www.indiatvnews.com/author/nidhi-mittal</t>
        </is>
      </c>
      <c r="M21" s="6" t="inlineStr">
        <is>
          <t>Confirm employer before use.</t>
        </is>
      </c>
    </row>
    <row r="22">
      <c r="A22" s="6" t="n">
        <v>18</v>
      </c>
      <c r="B22" s="6" t="inlineStr">
        <is>
          <t>Smarica Pant</t>
        </is>
      </c>
      <c r="C22" s="6" t="inlineStr">
        <is>
          <t>Research Content Specialist</t>
        </is>
      </c>
      <c r="D22" s="6" t="inlineStr">
        <is>
          <t>India Today</t>
        </is>
      </c>
      <c r="E22" s="6" t="inlineStr">
        <is>
          <t>Digital content (education earlier)</t>
        </is>
      </c>
      <c r="F22" s="6" t="inlineStr">
        <is>
          <t>Noida</t>
        </is>
      </c>
      <c r="G22" s="6" t="inlineStr">
        <is>
          <t>8587812356</t>
        </is>
      </c>
      <c r="H22" s="6" t="inlineStr">
        <is>
          <t>smarica.pant@intoday.com</t>
        </is>
      </c>
      <c r="I22" s="6" t="inlineStr">
        <is>
          <t>Education Media List; Robust Education Media List</t>
        </is>
      </c>
      <c r="J22" s="17" t="inlineStr">
        <is>
          <t>To confirm</t>
        </is>
      </c>
      <c r="K22" s="6" t="inlineStr">
        <is>
          <t>Still at India Today per profile; current role not on education desk</t>
        </is>
      </c>
      <c r="L22" s="15" t="inlineStr">
        <is>
          <t>https://muckrack.com/smarica-pant</t>
        </is>
      </c>
      <c r="M22" s="6" t="inlineStr">
        <is>
          <t>Your list calls her Bureau Chief; that does not match her current profile.</t>
        </is>
      </c>
    </row>
    <row r="23">
      <c r="A23" s="6" t="n">
        <v>19</v>
      </c>
      <c r="B23" s="6" t="inlineStr">
        <is>
          <t>Apoorva Anand</t>
        </is>
      </c>
      <c r="C23" s="6" t="inlineStr">
        <is>
          <t>Chief Sub Editor</t>
        </is>
      </c>
      <c r="D23" s="6" t="inlineStr">
        <is>
          <t>India Today</t>
        </is>
      </c>
      <c r="E23" s="6" t="inlineStr">
        <is>
          <t>Education (India Today Aspire earlier)</t>
        </is>
      </c>
      <c r="F23" s="6" t="inlineStr">
        <is>
          <t>Noida</t>
        </is>
      </c>
      <c r="G23" s="6" t="inlineStr">
        <is>
          <t>9654773319</t>
        </is>
      </c>
      <c r="H23" s="6" t="inlineStr">
        <is>
          <t>apoorva.intoday@gmail.com</t>
        </is>
      </c>
      <c r="I23" s="6" t="inlineStr">
        <is>
          <t>Robust Education Media List</t>
        </is>
      </c>
      <c r="J23" s="17" t="inlineStr">
        <is>
          <t>To confirm</t>
        </is>
      </c>
      <c r="K23" s="6" t="inlineStr">
        <is>
          <t>LinkedIn: Chief Sub Editor, India Today; education desk not confirmed</t>
        </is>
      </c>
      <c r="L23" s="15" t="inlineStr">
        <is>
          <t>https://www.linkedin.com/in/apoorva-anand-5b640046/</t>
        </is>
      </c>
      <c r="M23" s="6" t="inlineStr">
        <is>
          <t>Confirm desk before use.</t>
        </is>
      </c>
    </row>
    <row r="24">
      <c r="A24" s="6" t="n">
        <v>20</v>
      </c>
      <c r="B24" s="6" t="inlineStr">
        <is>
          <t>Charles Isaac</t>
        </is>
      </c>
      <c r="C24" s="6" t="inlineStr">
        <is>
          <t>Editor, HT Students' edition / News Editor</t>
        </is>
      </c>
      <c r="D24" s="6" t="inlineStr">
        <is>
          <t>Hindustan Times</t>
        </is>
      </c>
      <c r="E24" s="6" t="inlineStr">
        <is>
          <t>School edition (HT School)</t>
        </is>
      </c>
      <c r="F24" s="6" t="inlineStr">
        <is>
          <t>New Delhi</t>
        </is>
      </c>
      <c r="G24" s="6" t="inlineStr">
        <is>
          <t>9717778709</t>
        </is>
      </c>
      <c r="H24" s="6" t="inlineStr">
        <is>
          <t>charles.isaac@hindustantimes.com</t>
        </is>
      </c>
      <c r="I24" s="6" t="inlineStr">
        <is>
          <t>Education Media List; Robust Education Media List</t>
        </is>
      </c>
      <c r="J24" s="17" t="inlineStr">
        <is>
          <t>To confirm</t>
        </is>
      </c>
      <c r="K24" s="6" t="inlineStr">
        <is>
          <t>Could not confirm current role online</t>
        </is>
      </c>
      <c r="L24" s="6" t="n"/>
      <c r="M24" s="6" t="inlineStr">
        <is>
          <t>HT School is a strong DHS outlet if he is still in the role; call to confirm.</t>
        </is>
      </c>
    </row>
    <row r="25">
      <c r="A25" s="6" t="n">
        <v>21</v>
      </c>
      <c r="B25" s="6" t="inlineStr">
        <is>
          <t>Kritika Sharma</t>
        </is>
      </c>
      <c r="C25" s="6" t="inlineStr">
        <is>
          <t>Education correspondent (outlet to confirm)</t>
        </is>
      </c>
      <c r="D25" s="6" t="inlineStr">
        <is>
          <t>The Times of India / ThePrint (to confirm)</t>
        </is>
      </c>
      <c r="E25" s="6" t="inlineStr">
        <is>
          <t>Education</t>
        </is>
      </c>
      <c r="F25" s="6" t="inlineStr">
        <is>
          <t>New Delhi</t>
        </is>
      </c>
      <c r="G25" s="6" t="inlineStr">
        <is>
          <t>8860752544</t>
        </is>
      </c>
      <c r="H25" s="6" t="inlineStr">
        <is>
          <t>Kritika.Sharma@timesgroup.com</t>
        </is>
      </c>
      <c r="I25" s="6" t="inlineStr">
        <is>
          <t>Education Media List; Robust Education Media List</t>
        </is>
      </c>
      <c r="J25" s="17" t="inlineStr">
        <is>
          <t>To confirm</t>
        </is>
      </c>
      <c r="K25" s="6" t="inlineStr">
        <is>
          <t>Your lists show TOI; online author profile is from ThePrint</t>
        </is>
      </c>
      <c r="L25" s="15" t="inlineStr">
        <is>
          <t>https://theprint.in/author/kritika-sharma/</t>
        </is>
      </c>
      <c r="M25" s="6" t="inlineStr">
        <is>
          <t>Confirm current outlet before use.</t>
        </is>
      </c>
    </row>
    <row r="26">
      <c r="A26" s="6" t="n">
        <v>22</v>
      </c>
      <c r="B26" s="6" t="inlineStr">
        <is>
          <t>Zakariya Khan</t>
        </is>
      </c>
      <c r="C26" s="6" t="inlineStr">
        <is>
          <t>Senior Correspondent</t>
        </is>
      </c>
      <c r="D26" s="6" t="inlineStr">
        <is>
          <t>Financial Express</t>
        </is>
      </c>
      <c r="E26" s="6" t="inlineStr">
        <is>
          <t>Education</t>
        </is>
      </c>
      <c r="F26" s="6" t="inlineStr">
        <is>
          <t>New Delhi</t>
        </is>
      </c>
      <c r="G26" s="6" t="inlineStr">
        <is>
          <t>7558378161</t>
        </is>
      </c>
      <c r="H26" s="6" t="inlineStr">
        <is>
          <t>zakariya.khan@financialexpress.com</t>
        </is>
      </c>
      <c r="I26" s="6" t="inlineStr">
        <is>
          <t>Robust Education Media List</t>
        </is>
      </c>
      <c r="J26" s="17" t="inlineStr">
        <is>
          <t>To confirm</t>
        </is>
      </c>
      <c r="K26" s="6" t="inlineStr">
        <is>
          <t>Could not confirm online; one list row also shows a businessworld.in email</t>
        </is>
      </c>
      <c r="L26" s="6" t="n"/>
      <c r="M26" s="6" t="inlineStr">
        <is>
          <t>Confirm current outlet before use.</t>
        </is>
      </c>
    </row>
    <row r="27">
      <c r="A27" s="6" t="n">
        <v>23</v>
      </c>
      <c r="B27" s="6" t="inlineStr">
        <is>
          <t>Geetu Vaid</t>
        </is>
      </c>
      <c r="C27" s="6" t="inlineStr">
        <is>
          <t>Chief Sub Editor</t>
        </is>
      </c>
      <c r="D27" s="6" t="inlineStr">
        <is>
          <t>The Tribune</t>
        </is>
      </c>
      <c r="E27" s="6" t="inlineStr">
        <is>
          <t>Education, schools, careers features</t>
        </is>
      </c>
      <c r="F27" s="6" t="inlineStr">
        <is>
          <t>Chandigarh</t>
        </is>
      </c>
      <c r="G27" s="6" t="inlineStr">
        <is>
          <t>9646878446 / 9501648446</t>
        </is>
      </c>
      <c r="H27" s="6" t="inlineStr">
        <is>
          <t>geetu@tribunemail.com</t>
        </is>
      </c>
      <c r="I27" s="6" t="inlineStr">
        <is>
          <t>Education Media List; Robust Education Media List</t>
        </is>
      </c>
      <c r="J27" s="14" t="inlineStr">
        <is>
          <t>Verified - current role</t>
        </is>
      </c>
      <c r="K27" s="6" t="inlineStr">
        <is>
          <t>Tribune education and schools features (e.g. 'Extra Class' board-exam series)</t>
        </is>
      </c>
      <c r="L27" s="15" t="inlineStr">
        <is>
          <t>https://www.linkedin.com/in/geetu-vaid-05a926b4/</t>
        </is>
      </c>
      <c r="M27" s="6" t="inlineStr">
        <is>
          <t>Chandigarh-based, not NCR; Tribune reaches Haryana families (Gurugram).</t>
        </is>
      </c>
    </row>
  </sheetData>
  <autoFilter ref="A4:M27"/>
  <dataValidations count="1">
    <dataValidation sqref="J5:J27"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3" r:id="rId8"/>
    <hyperlink xmlns:r="http://schemas.openxmlformats.org/officeDocument/2006/relationships" ref="L14" r:id="rId9"/>
    <hyperlink xmlns:r="http://schemas.openxmlformats.org/officeDocument/2006/relationships" ref="L15" r:id="rId10"/>
    <hyperlink xmlns:r="http://schemas.openxmlformats.org/officeDocument/2006/relationships" ref="L16" r:id="rId11"/>
    <hyperlink xmlns:r="http://schemas.openxmlformats.org/officeDocument/2006/relationships" ref="L17" r:id="rId12"/>
    <hyperlink xmlns:r="http://schemas.openxmlformats.org/officeDocument/2006/relationships" ref="L18" r:id="rId13"/>
    <hyperlink xmlns:r="http://schemas.openxmlformats.org/officeDocument/2006/relationships" ref="L19" r:id="rId14"/>
    <hyperlink xmlns:r="http://schemas.openxmlformats.org/officeDocument/2006/relationships" ref="L20" r:id="rId15"/>
    <hyperlink xmlns:r="http://schemas.openxmlformats.org/officeDocument/2006/relationships" ref="L21" r:id="rId16"/>
    <hyperlink xmlns:r="http://schemas.openxmlformats.org/officeDocument/2006/relationships" ref="L22" r:id="rId17"/>
    <hyperlink xmlns:r="http://schemas.openxmlformats.org/officeDocument/2006/relationships" ref="L23" r:id="rId18"/>
    <hyperlink xmlns:r="http://schemas.openxmlformats.org/officeDocument/2006/relationships" ref="L25" r:id="rId19"/>
    <hyperlink xmlns:r="http://schemas.openxmlformats.org/officeDocument/2006/relationships" ref="L27" r:id="rId2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34" customWidth="1" min="3" max="3"/>
    <col width="50" customWidth="1" min="4" max="4"/>
    <col width="40" customWidth="1" min="5" max="5"/>
    <col width="36" customWidth="1" min="6" max="6"/>
    <col width="50" customWidth="1" min="7" max="7"/>
  </cols>
  <sheetData>
    <row r="1">
      <c r="A1" s="1" t="inlineStr">
        <is>
          <t>Moved - Do Not Use</t>
        </is>
      </c>
    </row>
    <row r="2">
      <c r="A2" s="13" t="inlineStr">
        <is>
          <t>Entries in your existing lists that are out of date. Remove or update these in the source files.</t>
        </is>
      </c>
    </row>
    <row r="4">
      <c r="A4" s="10" t="inlineStr">
        <is>
          <t>S.No</t>
        </is>
      </c>
      <c r="B4" s="10" t="inlineStr">
        <is>
          <t>Name</t>
        </is>
      </c>
      <c r="C4" s="10" t="inlineStr">
        <is>
          <t>Listed As (your files)</t>
        </is>
      </c>
      <c r="D4" s="10" t="inlineStr">
        <is>
          <t>Current Position</t>
        </is>
      </c>
      <c r="E4" s="10" t="inlineStr">
        <is>
          <t>Outdated Email(s) in Lists</t>
        </is>
      </c>
      <c r="F4" s="10" t="inlineStr">
        <is>
          <t>Found In</t>
        </is>
      </c>
      <c r="G4" s="10" t="inlineStr">
        <is>
          <t>Evidence Link</t>
        </is>
      </c>
    </row>
    <row r="5">
      <c r="A5" s="6" t="n">
        <v>1</v>
      </c>
      <c r="B5" s="6" t="inlineStr">
        <is>
          <t>Aasheesh Sharma</t>
        </is>
      </c>
      <c r="C5" s="6" t="inlineStr">
        <is>
          <t>HT Brunch, Hindustan Times</t>
        </is>
      </c>
      <c r="D5" s="6" t="inlineStr">
        <is>
          <t>Digital Editor, Outlook</t>
        </is>
      </c>
      <c r="E5" s="6" t="inlineStr">
        <is>
          <t>aasheesh.sharma@hindustantimes.com</t>
        </is>
      </c>
      <c r="F5" s="6" t="inlineStr">
        <is>
          <t>Sports Media List PDF</t>
        </is>
      </c>
      <c r="G5" s="15" t="inlineStr">
        <is>
          <t>https://www.linkedin.com/in/aasheesh-sharma/</t>
        </is>
      </c>
    </row>
    <row r="6">
      <c r="A6" s="6" t="n">
        <v>2</v>
      </c>
      <c r="B6" s="6" t="inlineStr">
        <is>
          <t>Shrabonti Bagchi</t>
        </is>
      </c>
      <c r="C6" s="6" t="inlineStr">
        <is>
          <t>National Features Editor, Mint Lounge</t>
        </is>
      </c>
      <c r="D6" s="6" t="inlineStr">
        <is>
          <t>Left Mint on 9 Mar 2026; independent writer</t>
        </is>
      </c>
      <c r="E6" s="6" t="inlineStr">
        <is>
          <t>-</t>
        </is>
      </c>
      <c r="F6" s="6" t="inlineStr">
        <is>
          <t>Not in lists</t>
        </is>
      </c>
      <c r="G6" s="15" t="inlineStr">
        <is>
          <t>https://x.com/Shrabonti/status/2030894494447710494</t>
        </is>
      </c>
    </row>
    <row r="7">
      <c r="A7" s="6" t="n">
        <v>3</v>
      </c>
      <c r="B7" s="6" t="inlineStr">
        <is>
          <t>Fareeha Iftikhar</t>
        </is>
      </c>
      <c r="C7" s="6" t="inlineStr">
        <is>
          <t>Hindustan Times</t>
        </is>
      </c>
      <c r="D7" s="6" t="inlineStr">
        <is>
          <t>Assistant Editor, ThePrint (education) since Aug 2024</t>
        </is>
      </c>
      <c r="E7" s="6" t="inlineStr">
        <is>
          <t>fareeha.iftikhar@htdigital.in</t>
        </is>
      </c>
      <c r="F7" s="6" t="inlineStr">
        <is>
          <t>Education Media List; Robust Education Media List</t>
        </is>
      </c>
      <c r="G7" s="15" t="inlineStr">
        <is>
          <t>https://theprint.in/author/fareeha-iftikhar/</t>
        </is>
      </c>
    </row>
    <row r="8">
      <c r="A8" s="6" t="n">
        <v>4</v>
      </c>
      <c r="B8" s="6" t="inlineStr">
        <is>
          <t>Abhishek Sahu</t>
        </is>
      </c>
      <c r="C8" s="6" t="inlineStr">
        <is>
          <t>Moneycontrol (education)</t>
        </is>
      </c>
      <c r="D8" s="6" t="inlineStr">
        <is>
          <t>Principal Correspondent, The Economic Times (HR and education)</t>
        </is>
      </c>
      <c r="E8" s="6" t="inlineStr">
        <is>
          <t>Abhishek.Sahu@nw18.com</t>
        </is>
      </c>
      <c r="F8" s="6" t="inlineStr">
        <is>
          <t>Education Media List; Robust Education Media List</t>
        </is>
      </c>
      <c r="G8" s="15" t="inlineStr">
        <is>
          <t>https://muckrack.com/abhishek-sahu-2/articles</t>
        </is>
      </c>
    </row>
    <row r="9">
      <c r="A9" s="6" t="n">
        <v>5</v>
      </c>
      <c r="B9" s="6" t="inlineStr">
        <is>
          <t>Sakshi Gupta</t>
        </is>
      </c>
      <c r="C9" s="6" t="inlineStr">
        <is>
          <t>Free Press Journal</t>
        </is>
      </c>
      <c r="D9" s="6" t="inlineStr">
        <is>
          <t>Senior Content Developer, Careers360</t>
        </is>
      </c>
      <c r="E9" s="6" t="inlineStr">
        <is>
          <t>sakshi@freepressjournal.in</t>
        </is>
      </c>
      <c r="F9" s="6" t="inlineStr">
        <is>
          <t>Education Media List</t>
        </is>
      </c>
      <c r="G9" s="15" t="inlineStr">
        <is>
          <t>https://news.careers360.com/author/sakshi-gupta</t>
        </is>
      </c>
    </row>
    <row r="10">
      <c r="A10" s="6" t="n">
        <v>6</v>
      </c>
      <c r="B10" s="6" t="inlineStr">
        <is>
          <t>Saurav Pandey</t>
        </is>
      </c>
      <c r="C10" s="6" t="inlineStr">
        <is>
          <t>Moneycontrol / TOI Online (education)</t>
        </is>
      </c>
      <c r="D10" s="6" t="inlineStr">
        <is>
          <t>Moneycontrol, now on markets, IPOs and corporate news (not education)</t>
        </is>
      </c>
      <c r="E10" s="6" t="inlineStr">
        <is>
          <t>saurav.pandey@nw18.com</t>
        </is>
      </c>
      <c r="F10" s="6" t="inlineStr">
        <is>
          <t>Education Media List; Robust Education Media List</t>
        </is>
      </c>
      <c r="G10" s="15" t="inlineStr">
        <is>
          <t>https://www.linkedin.com/in/saurav-pandey-1083b8221/</t>
        </is>
      </c>
    </row>
    <row r="11">
      <c r="A11" s="6" t="n">
        <v>7</v>
      </c>
      <c r="B11" s="6" t="inlineStr">
        <is>
          <t>Shreya Mundhra</t>
        </is>
      </c>
      <c r="C11" s="6" t="inlineStr">
        <is>
          <t>Times of India (education)</t>
        </is>
      </c>
      <c r="D11" s="6" t="inlineStr">
        <is>
          <t>Sub-Editor, Firstpost</t>
        </is>
      </c>
      <c r="E11" s="6" t="inlineStr">
        <is>
          <t>shreya.mundhra@timesgroup.com</t>
        </is>
      </c>
      <c r="F11" s="6" t="inlineStr">
        <is>
          <t>Robust Education Media List</t>
        </is>
      </c>
      <c r="G11" s="15" t="inlineStr">
        <is>
          <t>https://muckrack.com/shreya-mundhra/bio</t>
        </is>
      </c>
    </row>
    <row r="12">
      <c r="A12" s="6" t="n">
        <v>8</v>
      </c>
      <c r="B12" s="6" t="inlineStr">
        <is>
          <t>Danita Yadav</t>
        </is>
      </c>
      <c r="C12" s="6" t="inlineStr">
        <is>
          <t>Outlook / Times Now (education)</t>
        </is>
      </c>
      <c r="D12" s="6" t="inlineStr">
        <is>
          <t>HT Media Group (beat not confirmed)</t>
        </is>
      </c>
      <c r="E12" s="6" t="inlineStr">
        <is>
          <t>danita.yadav@outlookindia.com; danita.yadav@timesgroup.com</t>
        </is>
      </c>
      <c r="F12" s="6" t="inlineStr">
        <is>
          <t>Education Media List; Robust Education Media List</t>
        </is>
      </c>
      <c r="G12" s="15" t="inlineStr">
        <is>
          <t>https://www.linkedin.com/in/danita-yadav/</t>
        </is>
      </c>
    </row>
    <row r="13">
      <c r="A13" s="6" t="n">
        <v>9</v>
      </c>
      <c r="B13" s="6" t="inlineStr">
        <is>
          <t>Monika Rawal</t>
        </is>
      </c>
      <c r="C13" s="6" t="inlineStr">
        <is>
          <t>Senior Entertainment Editor, HT City</t>
        </is>
      </c>
      <c r="D13" s="6" t="inlineStr">
        <is>
          <t>Consulting Editor, Events and Special Projects, Times Internet (Aug 2025)</t>
        </is>
      </c>
      <c r="E13" s="6" t="inlineStr">
        <is>
          <t>-</t>
        </is>
      </c>
      <c r="F13" s="6" t="inlineStr">
        <is>
          <t>Not in lists</t>
        </is>
      </c>
      <c r="G13" s="15" t="inlineStr">
        <is>
          <t>https://www.exchange4media.com/experiential-marketing-news/monika-rawal-joins-times-internet-as-consulting-editor-events-and-special-projects-146470.html</t>
        </is>
      </c>
    </row>
    <row r="14">
      <c r="A14" s="6" t="n">
        <v>10</v>
      </c>
      <c r="B14" s="6" t="inlineStr">
        <is>
          <t>Karuna Laungani</t>
        </is>
      </c>
      <c r="C14" s="6" t="inlineStr">
        <is>
          <t>Editor, Elle India</t>
        </is>
      </c>
      <c r="D14" s="6" t="inlineStr">
        <is>
          <t>Elle India is now led by Ainee Nizami Ahmedi</t>
        </is>
      </c>
      <c r="E14" s="6" t="inlineStr">
        <is>
          <t>-</t>
        </is>
      </c>
      <c r="F14" s="6" t="inlineStr">
        <is>
          <t>A &amp; M Media List (Magazines)</t>
        </is>
      </c>
      <c r="G14" s="15" t="inlineStr">
        <is>
          <t>https://elle.in/contact-us</t>
        </is>
      </c>
    </row>
    <row r="15">
      <c r="A15" s="6" t="n">
        <v>11</v>
      </c>
      <c r="B15" s="6" t="inlineStr">
        <is>
          <t>Ruchika Mehta</t>
        </is>
      </c>
      <c r="C15" s="6" t="inlineStr">
        <is>
          <t>HELLO! India (Worldwide Media email)</t>
        </is>
      </c>
      <c r="D15" s="6" t="inlineStr">
        <is>
          <t>Still Editor of HELLO!, now under India Today Group; also India Today Spice and Brides Today</t>
        </is>
      </c>
      <c r="E15" s="6" t="inlineStr">
        <is>
          <t>ruchikamehta@wwm.co.in</t>
        </is>
      </c>
      <c r="F15" s="6" t="inlineStr">
        <is>
          <t>A &amp; M Media List (Online)</t>
        </is>
      </c>
      <c r="G15" s="15" t="inlineStr">
        <is>
          <t>https://www.exchange4media.com/people-movement-news/ruchika-mehta-takes-additional-charge-as-editor-of-india-today-spice-158393.html</t>
        </is>
      </c>
    </row>
    <row r="16">
      <c r="A16" s="6" t="n">
        <v>12</v>
      </c>
      <c r="B16" s="6" t="inlineStr">
        <is>
          <t>Puniti Pandey</t>
        </is>
      </c>
      <c r="C16" s="6" t="inlineStr">
        <is>
          <t>Times group email</t>
        </is>
      </c>
      <c r="D16" s="6" t="inlineStr">
        <is>
          <t>NDTV, Senior Sub Editor (education)</t>
        </is>
      </c>
      <c r="E16" s="6" t="inlineStr">
        <is>
          <t>puniti.pandey@timesgroup.com</t>
        </is>
      </c>
      <c r="F16" s="6" t="inlineStr">
        <is>
          <t>Education Media List</t>
        </is>
      </c>
      <c r="G16" s="15" t="inlineStr">
        <is>
          <t>https://muckrack.com/puniti-pandey/articles</t>
        </is>
      </c>
    </row>
  </sheetData>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2026-10-04T16:49:29Z</dcterms:created>
  <dcterms:modified xsi:type="dcterms:W3CDTF">2026-10-04T16:49:29Z</dcterms:modified>
</cp:coreProperties>
</file>