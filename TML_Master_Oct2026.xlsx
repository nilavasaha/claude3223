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lcobev + F&amp;B" sheetId="2" state="visible" r:id="rId2"/>
    <sheet name="Alcobev Listicles - Verify" sheetId="3" state="visible" r:id="rId3"/>
    <sheet name="Devyani - Lifestyle" sheetId="4" state="visible" r:id="rId4"/>
    <sheet name="Devyani - Celebrity &amp; Society" sheetId="5" state="visible" r:id="rId5"/>
    <sheet name="Devyani - Luxury, Art, Biz" sheetId="6" state="visible" r:id="rId6"/>
    <sheet name="DHS - Delhi NCR Education" sheetId="7" state="visible" r:id="rId7"/>
    <sheet name="Moved - Do Not Use" sheetId="8" state="visible" r:id="rId8"/>
  </sheets>
  <definedNames>
    <definedName name="_xlnm._FilterDatabase" localSheetId="1" hidden="1">'Alcobev + F&amp;B'!$A$4:$O$48</definedName>
    <definedName name="_xlnm._FilterDatabase" localSheetId="2" hidden="1">'Alcobev Listicles - Verify'!$A$4:$H$20</definedName>
    <definedName name="_xlnm._FilterDatabase" localSheetId="3" hidden="1">'Devyani - Lifestyle'!$A$4:$M$28</definedName>
    <definedName name="_xlnm._FilterDatabase" localSheetId="4" hidden="1">'Devyani - Celebrity &amp; Society'!$A$4:$M$13</definedName>
    <definedName name="_xlnm._FilterDatabase" localSheetId="5" hidden="1">'Devyani - Luxury, Art, Biz'!$A$4:$M$18</definedName>
    <definedName name="_xlnm._FilterDatabase" localSheetId="6" hidden="1">'DHS - Delhi NCR Education'!$A$4:$M$47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b val="1"/>
      <sz val="10"/>
    </font>
    <font>
      <name val="Arial"/>
      <sz val="10"/>
    </font>
    <font>
      <name val="Arial"/>
      <b val="1"/>
      <color rgb="001F3864"/>
      <sz val="11"/>
    </font>
    <font>
      <name val="Arial"/>
      <b val="1"/>
      <color rgb="00FFFFFF"/>
      <sz val="10"/>
    </font>
    <font>
      <name val="Arial"/>
      <i val="1"/>
      <color rgb="00595959"/>
      <sz val="9"/>
    </font>
    <font>
      <name val="Arial"/>
      <color rgb="000563C1"/>
      <sz val="10"/>
      <u val="single"/>
    </font>
  </fonts>
  <fills count="13">
    <fill>
      <patternFill/>
    </fill>
    <fill>
      <patternFill patternType="gray125"/>
    </fill>
    <fill>
      <patternFill patternType="solid">
        <fgColor rgb="00C6EFCE"/>
      </patternFill>
    </fill>
    <fill>
      <patternFill patternType="solid">
        <fgColor rgb="00DDEBF7"/>
      </patternFill>
    </fill>
    <fill>
      <patternFill patternType="solid">
        <fgColor rgb="00FFEB9C"/>
      </patternFill>
    </fill>
    <fill>
      <patternFill patternType="solid">
        <fgColor rgb="00FCE4D6"/>
      </patternFill>
    </fill>
    <fill>
      <patternFill patternType="solid">
        <fgColor rgb="001F3864"/>
      </patternFill>
    </fill>
    <fill>
      <patternFill patternType="solid">
        <fgColor rgb="00BF8F00"/>
      </patternFill>
    </fill>
    <fill>
      <patternFill patternType="solid">
        <fgColor rgb="00FFD966"/>
      </patternFill>
    </fill>
    <fill>
      <patternFill patternType="solid">
        <fgColor rgb="00E2EFDA"/>
      </patternFill>
    </fill>
    <fill>
      <patternFill patternType="solid">
        <fgColor rgb="00FFF2CC"/>
      </patternFill>
    </fill>
    <fill>
      <patternFill patternType="solid">
        <fgColor rgb="00EDEDED"/>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2" fillId="2" borderId="1" pivotButton="0" quotePrefix="0" xfId="0"/>
    <xf numFmtId="0" fontId="3" fillId="0" borderId="1" applyAlignment="1" pivotButton="0" quotePrefix="0" xfId="0">
      <alignment vertical="top" wrapText="1"/>
    </xf>
    <xf numFmtId="0" fontId="2" fillId="3" borderId="1" pivotButton="0" quotePrefix="0" xfId="0"/>
    <xf numFmtId="0" fontId="2" fillId="4" borderId="1" pivotButton="0" quotePrefix="0" xfId="0"/>
    <xf numFmtId="0" fontId="2" fillId="5" borderId="1" pivotButton="0" quotePrefix="0" xfId="0"/>
    <xf numFmtId="0" fontId="5" fillId="6" borderId="1" applyAlignment="1" pivotButton="0" quotePrefix="0" xfId="0">
      <alignment horizontal="center" vertical="center" wrapText="1"/>
    </xf>
    <xf numFmtId="0" fontId="3" fillId="0" borderId="1" pivotButton="0" quotePrefix="0" xfId="0"/>
    <xf numFmtId="0" fontId="2" fillId="0" borderId="1" pivotButton="0" quotePrefix="0" xfId="0"/>
    <xf numFmtId="0" fontId="6" fillId="0" borderId="0" pivotButton="0" quotePrefix="0" xfId="0"/>
    <xf numFmtId="0" fontId="5" fillId="7" borderId="1" applyAlignment="1" pivotButton="0" quotePrefix="0" xfId="0">
      <alignment horizontal="center" vertical="center" wrapText="1"/>
    </xf>
    <xf numFmtId="0" fontId="3" fillId="3" borderId="1" applyAlignment="1" pivotButton="0" quotePrefix="0" xfId="0">
      <alignment vertical="top" wrapText="1"/>
    </xf>
    <xf numFmtId="0" fontId="7" fillId="0" borderId="1" applyAlignment="1" pivotButton="0" quotePrefix="0" xfId="0">
      <alignment vertical="top" wrapText="1"/>
    </xf>
    <xf numFmtId="0" fontId="3" fillId="2" borderId="1"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xf numFmtId="0" fontId="2"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5" borderId="1" applyAlignment="1" pivotButton="0" quotePrefix="0" xfId="0">
      <alignment vertical="top" wrapText="1"/>
    </xf>
    <xf numFmtId="0" fontId="3" fillId="1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zoominfo.com/p/Bishan-Kumar/9350175409" TargetMode="External" Id="rId1" /><Relationship Type="http://schemas.openxmlformats.org/officeDocument/2006/relationships/hyperlink" Target="https://aabkaritimes.com/editorial-policy/" TargetMode="External" Id="rId2" /><Relationship Type="http://schemas.openxmlformats.org/officeDocument/2006/relationships/hyperlink" Target="https://www.linkedin.com/in/ps-mishra-772a0328/" TargetMode="External" Id="rId3" /><Relationship Type="http://schemas.openxmlformats.org/officeDocument/2006/relationships/hyperlink" Target="https://www.business-standard.com/industry/news/results-preview-alcobev-industry-growth-may-have-cooled-in-q3fy26-126011501168_1.html" TargetMode="External" Id="rId4" /><Relationship Type="http://schemas.openxmlformats.org/officeDocument/2006/relationships/hyperlink" Target="https://www.business-standard.com/author/akshara-srivastava/page-2" TargetMode="External" Id="rId5" /><Relationship Type="http://schemas.openxmlformats.org/officeDocument/2006/relationships/hyperlink" Target="https://muckrack.com/suneera-tandon" TargetMode="External" Id="rId6" /><Relationship Type="http://schemas.openxmlformats.org/officeDocument/2006/relationships/hyperlink" Target="https://bwretailworld.com/food-beverage/india-alcobev-trends-2026-premiumisation-moderation-reform" TargetMode="External" Id="rId7" /><Relationship Type="http://schemas.openxmlformats.org/officeDocument/2006/relationships/hyperlink" Target="https://www.outlookbusiness.com/industry/indias-alcobev-market-splits-into-a-k-shaped-growth-story" TargetMode="External" Id="rId8" /><Relationship Type="http://schemas.openxmlformats.org/officeDocument/2006/relationships/hyperlink" Target="https://www.restaurantindia.in/article/7-indian-spirits-most-drinkers-outside-india-have-never-heard-of.17178" TargetMode="External" Id="rId9" /><Relationship Type="http://schemas.openxmlformats.org/officeDocument/2006/relationships/hyperlink" Target="https://www.restaurantindia.in/article/how-indias-cocktail-culture-is-redefining-the-modern-bar-experience.16809" TargetMode="External" Id="rId10" /><Relationship Type="http://schemas.openxmlformats.org/officeDocument/2006/relationships/hyperlink" Target="https://www.franchiseindia.com/insights/en/news/indian-restaurant-congress-goes-global-with-first-international-edition-in-london.58927" TargetMode="External" Id="rId11" /><Relationship Type="http://schemas.openxmlformats.org/officeDocument/2006/relationships/hyperlink" Target="https://indianretailer.com/franchisetv/author/himanshi-kaushik" TargetMode="External" Id="rId12" /><Relationship Type="http://schemas.openxmlformats.org/officeDocument/2006/relationships/hyperlink" Target="https://www.businessoffood.in/mast-banarasi-paan-charts-aggressive-growth-crossing-400-outlets-explores-fresh-capital/" TargetMode="External" Id="rId13" /><Relationship Type="http://schemas.openxmlformats.org/officeDocument/2006/relationships/hyperlink" Target="https://www.slurrp.com/article/international-whisky-day-2026-experts-on-the-new-whisky-culture-in-india-1774577006830" TargetMode="External" Id="rId14" /><Relationship Type="http://schemas.openxmlformats.org/officeDocument/2006/relationships/hyperlink" Target="https://www.slurrp.com/article/world-whisky-day-2026-whisky-cocktails-amp-mango-moments-when-the-king-of-fruits-meets-the-king-of-spirits-1778850851459" TargetMode="External" Id="rId15" /><Relationship Type="http://schemas.openxmlformats.org/officeDocument/2006/relationships/hyperlink" Target="https://www.slurrp.com/article/the-mindful-pour-inside-indias-new-cocktail-consciousness-1778067928872" TargetMode="External" Id="rId16" /><Relationship Type="http://schemas.openxmlformats.org/officeDocument/2006/relationships/hyperlink" Target="https://www.slurrp.com/article/indias-gin-renaissance-enters-its-second-act-1790770816838" TargetMode="External" Id="rId17" /><Relationship Type="http://schemas.openxmlformats.org/officeDocument/2006/relationships/hyperlink" Target="https://oteats.outlooktraveller.com/about-us" TargetMode="External" Id="rId18" /><Relationship Type="http://schemas.openxmlformats.org/officeDocument/2006/relationships/hyperlink" Target="https://www.esquireindia.co.in/food-and-drinks/what-to-eat/the-best-new-restaurants-and-bars-in-india-in-2026-so-far" TargetMode="External" Id="rId19" /><Relationship Type="http://schemas.openxmlformats.org/officeDocument/2006/relationships/hyperlink" Target="https://thenodmag.com/author/geetika-sachdev" TargetMode="External" Id="rId20" /><Relationship Type="http://schemas.openxmlformats.org/officeDocument/2006/relationships/hyperlink" Target="https://www.timeout.com/profile/poulomi-deb" TargetMode="External" Id="rId21" /><Relationship Type="http://schemas.openxmlformats.org/officeDocument/2006/relationships/hyperlink" Target="https://www.timeout.com/profile/nayantara-singh" TargetMode="External" Id="rId22" /><Relationship Type="http://schemas.openxmlformats.org/officeDocument/2006/relationships/hyperlink" Target="https://www.localsamosa.com/business/mohulo-gin-brand-story-11226236" TargetMode="External" Id="rId23" /><Relationship Type="http://schemas.openxmlformats.org/officeDocument/2006/relationships/hyperlink" Target="https://muckrack.com/vir-sanghvi/articles" TargetMode="External" Id="rId24" /><Relationship Type="http://schemas.openxmlformats.org/officeDocument/2006/relationships/hyperlink" Target="https://www.outlooktraveller.com/News/delhi-food-awards-2026-celebrates-culinary-heritage-community-and-the-future-of-food-in-the-capital" TargetMode="External" Id="rId25" /><Relationship Type="http://schemas.openxmlformats.org/officeDocument/2006/relationships/hyperlink" Target="https://muckrack.com/magandeep-singh/articles" TargetMode="External" Id="rId26" /><Relationship Type="http://schemas.openxmlformats.org/officeDocument/2006/relationships/hyperlink" Target="https://sundayguardianlive.com/feature/cinnamon-life-at-sri-lankas-city-of-dreams-a-fairytale-written-for-two-298239" TargetMode="External" Id="rId27" /><Relationship Type="http://schemas.openxmlformats.org/officeDocument/2006/relationships/hyperlink" Target="https://www.linkedin.com/in/aasheesh-sharma/" TargetMode="External" Id="rId28" /><Relationship Type="http://schemas.openxmlformats.org/officeDocument/2006/relationships/hyperlink" Target="https://www.lonelyplanet.com/authors/meher-mirza" TargetMode="External" Id="rId29" /><Relationship Type="http://schemas.openxmlformats.org/officeDocument/2006/relationships/hyperlink" Target="https://muckrack.com/ratna-bhushan/articles" TargetMode="External" Id="rId30" /><Relationship Type="http://schemas.openxmlformats.org/officeDocument/2006/relationships/hyperlink" Target="https://muckrack.com/smita-balram/articles" TargetMode="External" Id="rId31" /><Relationship Type="http://schemas.openxmlformats.org/officeDocument/2006/relationships/hyperlink" Target="https://muckrack.com/devika-singh-3/articles" TargetMode="External" Id="rId32" /><Relationship Type="http://schemas.openxmlformats.org/officeDocument/2006/relationships/hyperlink" Target="https://www.thespiritsbusiness.com/2026/06/top-10-biggest-selling-indian-whisky-brand-champions/" TargetMode="External" Id="rId33" /><Relationship Type="http://schemas.openxmlformats.org/officeDocument/2006/relationships/hyperlink" Target="https://muckrack.com/diya-kohli/articles" TargetMode="External" Id="rId34" /><Relationship Type="http://schemas.openxmlformats.org/officeDocument/2006/relationships/hyperlink" Target="https://muckrack.com/media-outlet/cntraveller-india" TargetMode="External" Id="rId35" /><Relationship Type="http://schemas.openxmlformats.org/officeDocument/2006/relationships/hyperlink" Target="https://muckrack.com/ananya-desai/articles" TargetMode="External" Id="rId36" /><Relationship Type="http://schemas.openxmlformats.org/officeDocument/2006/relationships/hyperlink" Target="https://muckrack.com/pushpesh-pant/articles" TargetMode="External" Id="rId37" /><Relationship Type="http://schemas.openxmlformats.org/officeDocument/2006/relationships/hyperlink" Target="https://restaurantindia.in/article/tag/indian-beer" TargetMode="External" Id="rId38" /><Relationship Type="http://schemas.openxmlformats.org/officeDocument/2006/relationships/hyperlink" Target="https://oteats.outlooktraveller.com/features/guides/top-mahua-spirits-in-india-the-return-of-indias-tribal-heritage-drink" TargetMode="External" Id="rId39" /><Relationship Type="http://schemas.openxmlformats.org/officeDocument/2006/relationships/hyperlink" Target="https://thewhiskeywash.com/whiskey-awards/the-best-indian-whiskies-according-to-the-world-whiskies-awards-2026/" TargetMode="External" Id="rId40" /><Relationship Type="http://schemas.openxmlformats.org/officeDocument/2006/relationships/hyperlink" Target="https://www.esquireindia.co.in/food-and-drinks/where-to-drink/10-best-whisky-brands-in-india-under-10000-macallan-12-glenfiddich-15-chivas-regal-18-ardbeg-10-glenmorangie-lasanta-why-popular" TargetMode="External" Id="rId41" /><Relationship Type="http://schemas.openxmlformats.org/officeDocument/2006/relationships/hyperlink" Target="https://www.esquireindia.co.in/food-and-drinks/where-to-drink/beyond-whiskey-5-premium-indian-spirits-worth-stocking-this-festive-season" TargetMode="External" Id="rId42" /><Relationship Type="http://schemas.openxmlformats.org/officeDocument/2006/relationships/hyperlink" Target="https://www.esquireindia.co.in/amp/story/food-and-drinks/where-to-drink/5-homegrown-indian-spirits" TargetMode="External" Id="rId43" /><Relationship Type="http://schemas.openxmlformats.org/officeDocument/2006/relationships/hyperlink" Target="https://thewhiskeywash.com/whiskey-news/wiid-2026-indias-top-bar-brands-cocktails-revealed/" TargetMode="External" Id="rId44" /></Relationships>
</file>

<file path=xl/worksheets/_rels/sheet3.xml.rels><Relationships xmlns="http://schemas.openxmlformats.org/package/2006/relationships"><Relationship Type="http://schemas.openxmlformats.org/officeDocument/2006/relationships/hyperlink" Target="https://www.businesstoday.in/lifestyle/food-drinks/story/world-gin-day-2026-the-best-indian-and-international-gins-to-pour-sip-and-savour-this-year-536550-2026-06-13" TargetMode="External" Id="rId1" /><Relationship Type="http://schemas.openxmlformats.org/officeDocument/2006/relationships/hyperlink" Target="https://elle.in/?p=233106" TargetMode="External" Id="rId2" /><Relationship Type="http://schemas.openxmlformats.org/officeDocument/2006/relationships/hyperlink" Target="https://elle.in/?p=127930" TargetMode="External" Id="rId3" /><Relationship Type="http://schemas.openxmlformats.org/officeDocument/2006/relationships/hyperlink" Target="https://indianretailer.com/article/retail-business/consumer-trends/top-mahua-brands-india-discover-tribal-spirit-india" TargetMode="External" Id="rId4" /><Relationship Type="http://schemas.openxmlformats.org/officeDocument/2006/relationships/hyperlink" Target="https://indianretailer.com/article/retail-business/consumer-trends/celebrate-gin-day-top-8-indian-gin-brands-india" TargetMode="External" Id="rId5" /><Relationship Type="http://schemas.openxmlformats.org/officeDocument/2006/relationships/hyperlink" Target="https://indianretailer.com/article/retail-business/consumer-trends/top-rated-rum-brands-sip-national-rum-day" TargetMode="External" Id="rId6" /><Relationship Type="http://schemas.openxmlformats.org/officeDocument/2006/relationships/hyperlink" Target="https://www.outlooktraveller.com/ot-pours/8-premium-indian-rums-every-rum-lover-should-try" TargetMode="External" Id="rId7" /><Relationship Type="http://schemas.openxmlformats.org/officeDocument/2006/relationships/hyperlink" Target="https://oteats.outlooktraveller.com/features/guides/world-rum-day-2025-8-indian-rums-that-should-be-on-your-radar" TargetMode="External" Id="rId8" /><Relationship Type="http://schemas.openxmlformats.org/officeDocument/2006/relationships/hyperlink" Target="https://curlytales.com/india/food/new-alcohol-launches-in-india-featuring-mango-infused-rum-japanese-style-whisky-more/" TargetMode="External" Id="rId9" /><Relationship Type="http://schemas.openxmlformats.org/officeDocument/2006/relationships/hyperlink" Target="https://curlytales.com/india/food/from-agave-to-aperitifs-top-brands-that-defined-indias-drinking-culture-in/" TargetMode="External" Id="rId10" /><Relationship Type="http://schemas.openxmlformats.org/officeDocument/2006/relationships/hyperlink" Target="https://www.restaurantindia.in/article/top-indian-craft-rum-brands-gaining-attention-in-2026.15338" TargetMode="External" Id="rId11" /><Relationship Type="http://schemas.openxmlformats.org/officeDocument/2006/relationships/hyperlink" Target="https://www.restaurantindia.in/article/top-20-trendy-whiskeys-you-must-try-once.13499" TargetMode="External" Id="rId12" /><Relationship Type="http://schemas.openxmlformats.org/officeDocument/2006/relationships/hyperlink" Target="https://t2online.in/goodlife/food-beverage/from-screen-to-shelf--the-celebrity-and-industrialist-brands-redefining-india-s-home-bar/2007704" TargetMode="External" Id="rId13" /><Relationship Type="http://schemas.openxmlformats.org/officeDocument/2006/relationships/hyperlink" Target="https://drinksint.com/news/fullstory.php/aid/12339/.html" TargetMode="External" Id="rId14" /><Relationship Type="http://schemas.openxmlformats.org/officeDocument/2006/relationships/hyperlink" Target="https://thenodmag.com/content/rise-of-indian-local-spirits-mahua-feni" TargetMode="External" Id="rId15" /><Relationship Type="http://schemas.openxmlformats.org/officeDocument/2006/relationships/hyperlink" Target="https://luxe.outlookindia.com/food-travel/14-new-spirit-launches-to-celebrate-the-festive-season" TargetMode="External" Id="rId16" /></Relationships>
</file>

<file path=xl/worksheets/_rels/sheet4.xml.rels><Relationships xmlns="http://schemas.openxmlformats.org/package/2006/relationships"><Relationship Type="http://schemas.openxmlformats.org/officeDocument/2006/relationships/hyperlink" Target="https://muckrack.com/jamal-shaikh/articles" TargetMode="External" Id="rId1" /><Relationship Type="http://schemas.openxmlformats.org/officeDocument/2006/relationships/hyperlink" Target="https://www.exchange4media.com/people-movement-news/rochelle-pinto-is-head-of-editorial-content-for-vogue-india-130285.html" TargetMode="External" Id="rId2" /><Relationship Type="http://schemas.openxmlformats.org/officeDocument/2006/relationships/hyperlink" Target="https://www.hearstmagazinesinternational.com/news/off-the-page-with-rasna-bhasin-editor-in-chief-of-harpers-bazaar-india/" TargetMode="External" Id="rId3" /><Relationship Type="http://schemas.openxmlformats.org/officeDocument/2006/relationships/hyperlink" Target="https://muckrack.com/che-kurrien/articles" TargetMode="External" Id="rId4" /><Relationship Type="http://schemas.openxmlformats.org/officeDocument/2006/relationships/hyperlink" Target="https://elle.in/contact-us" TargetMode="External" Id="rId5" /><Relationship Type="http://schemas.openxmlformats.org/officeDocument/2006/relationships/hyperlink" Target="https://www.exchange4media.com/media-print-news/snigdha-ahuja-appointed-as-new-editor-of-cosmopolitan-india-143224.html" TargetMode="External" Id="rId6" /><Relationship Type="http://schemas.openxmlformats.org/officeDocument/2006/relationships/hyperlink" Target="https://www.mediainfoline.com/awards/femina-beauty-awards-2026-ananya-panday-kriti-sanon-and-tamannaah-bhatia-lead-a-star-studded-night" TargetMode="External" Id="rId7" /><Relationship Type="http://schemas.openxmlformats.org/officeDocument/2006/relationships/hyperlink" Target="https://mintlounge.substack.com/p/unconditional-love-and-ai" TargetMode="External" Id="rId8" /><Relationship Type="http://schemas.openxmlformats.org/officeDocument/2006/relationships/hyperlink" Target="https://in.linkedin.com/company/lifestyle-asia-india" TargetMode="External" Id="rId9" /><Relationship Type="http://schemas.openxmlformats.org/officeDocument/2006/relationships/hyperlink" Target="https://luxe.outlookindia.com/about-us" TargetMode="External" Id="rId10" /><Relationship Type="http://schemas.openxmlformats.org/officeDocument/2006/relationships/hyperlink" Target="https://luxe.outlookindia.com/about-us" TargetMode="External" Id="rId11" /><Relationship Type="http://schemas.openxmlformats.org/officeDocument/2006/relationships/hyperlink" Target="https://en.wikipedia.org/wiki/Verve_(Indian_magazine)" TargetMode="External" Id="rId12" /><Relationship Type="http://schemas.openxmlformats.org/officeDocument/2006/relationships/hyperlink" Target="https://muckrack.com/bibek-bhattacharya/articles" TargetMode="External" Id="rId13" /><Relationship Type="http://schemas.openxmlformats.org/officeDocument/2006/relationships/hyperlink" Target="https://muckrack.com/media-outlet/lifestylelivemint" TargetMode="External" Id="rId14" /><Relationship Type="http://schemas.openxmlformats.org/officeDocument/2006/relationships/hyperlink" Target="https://thewire.in/government/seema-says-a-joyless-election-energy-woes-palantir-manifesto-and-wheres-the-football" TargetMode="External" Id="rId15" /><Relationship Type="http://schemas.openxmlformats.org/officeDocument/2006/relationships/hyperlink" Target="https://muckrack.com/shara-asraf" TargetMode="External" Id="rId16" /><Relationship Type="http://schemas.openxmlformats.org/officeDocument/2006/relationships/hyperlink" Target="https://muckrack.com/veenu-singh/articles" TargetMode="External" Id="rId17" /><Relationship Type="http://schemas.openxmlformats.org/officeDocument/2006/relationships/hyperlink" Target="https://muckrack.com/trisha-mukherjee-2/articles" TargetMode="External" Id="rId18" /><Relationship Type="http://schemas.openxmlformats.org/officeDocument/2006/relationships/hyperlink" Target="https://business-standard.com/author/veenu-sandhu" TargetMode="External" Id="rId19" /><Relationship Type="http://schemas.openxmlformats.org/officeDocument/2006/relationships/hyperlink" Target="https://muckrack.com/sadaf-shaikh/articles" TargetMode="External" Id="rId20" /><Relationship Type="http://schemas.openxmlformats.org/officeDocument/2006/relationships/hyperlink" Target="https://muckrack.com/akanksha-kamath" TargetMode="External" Id="rId21" /><Relationship Type="http://schemas.openxmlformats.org/officeDocument/2006/relationships/hyperlink" Target="https://muckrack.com/kriti-shukla-1" TargetMode="External" Id="rId22" /><Relationship Type="http://schemas.openxmlformats.org/officeDocument/2006/relationships/hyperlink" Target="https://muckrack.com/butool-jamal/articles" TargetMode="External" Id="rId23" /><Relationship Type="http://schemas.openxmlformats.org/officeDocument/2006/relationships/hyperlink" Target="https://muckrack.com/deepali-singh-1" TargetMode="External" Id="rId24" /></Relationships>
</file>

<file path=xl/worksheets/_rels/sheet5.xml.rels><Relationships xmlns="http://schemas.openxmlformats.org/package/2006/relationships"><Relationship Type="http://schemas.openxmlformats.org/officeDocument/2006/relationships/hyperlink" Target="https://www.exchange4media.com/people-movement-news/ruchika-mehta-takes-additional-charge-as-editor-of-india-today-spice-158393.html" TargetMode="External" Id="rId1" /><Relationship Type="http://schemas.openxmlformats.org/officeDocument/2006/relationships/hyperlink" Target="https://www.exchange4media.com/announcements-news/sonal-kalra-to-launch-lifestyle-entertainment-news-show-142482.html" TargetMode="External" Id="rId2" /><Relationship Type="http://schemas.openxmlformats.org/officeDocument/2006/relationships/hyperlink" Target="https://www.exchange4media.com/people-movement-news/ht-city-delhi-appoints-rohit-bhatnagar-as-entertainment-editor-146845.html" TargetMode="External" Id="rId3" /><Relationship Type="http://schemas.openxmlformats.org/officeDocument/2006/relationships/hyperlink" Target="https://www.exchange4media.com/people-movement-news/sneha-menon-desai-appointed-editor-of-the-hollywood-reporter-india-158673.html" TargetMode="External" Id="rId4" /><Relationship Type="http://schemas.openxmlformats.org/officeDocument/2006/relationships/hyperlink" Target="https://www.exchange4media.com/media-print-news/bombay-times-and-mumbais-symphony-a-30-year-partnership-139634.html" TargetMode="External" Id="rId5" /><Relationship Type="http://schemas.openxmlformats.org/officeDocument/2006/relationships/hyperlink" Target="https://www.exchange4media.com/people-movement-news/gajendra-singh-bhati-joins-the-indian-express-hindi-as-entertainment-editor-154435.html" TargetMode="External" Id="rId6" /><Relationship Type="http://schemas.openxmlformats.org/officeDocument/2006/relationships/hyperlink" Target="https://www.indiatvnews.com/author/anindita-mukhopadhyay/15" TargetMode="External" Id="rId7" /><Relationship Type="http://schemas.openxmlformats.org/officeDocument/2006/relationships/hyperlink" Target="https://www.exchange4media.com/media-print-news/mayank-shekhar-joins-mid-day-as-entertainment-head-65607.html" TargetMode="External" Id="rId8" /><Relationship Type="http://schemas.openxmlformats.org/officeDocument/2006/relationships/hyperlink" Target="https://muckrack.com/nupur-sarvaiya/articles" TargetMode="External" Id="rId9" /></Relationships>
</file>

<file path=xl/worksheets/_rels/sheet6.xml.rels><Relationships xmlns="http://schemas.openxmlformats.org/package/2006/relationships"><Relationship Type="http://schemas.openxmlformats.org/officeDocument/2006/relationships/hyperlink" Target="https://www.forbesindia.com/author/pankti-mehta-kadakia/5205" TargetMode="External" Id="rId1" /><Relationship Type="http://schemas.openxmlformats.org/officeDocument/2006/relationships/hyperlink" Target="https://www.esquireindia.co.in/food-and-drinks/what-to-eat/robb-report-india-turns-one-with-chapter-one-the-circle-of-influence-at-fairmont-udaipur-palace" TargetMode="External" Id="rId2" /><Relationship Type="http://schemas.openxmlformats.org/officeDocument/2006/relationships/hyperlink" Target="https://www.exchange4media.com/people-movement-news/robb-report-india-appoints-shradha-shahani-as-managing-editor-145291.html" TargetMode="External" Id="rId3" /><Relationship Type="http://schemas.openxmlformats.org/officeDocument/2006/relationships/hyperlink" Target="https://muckrack.com/avantika-bhuyan/articles" TargetMode="External" Id="rId4" /><Relationship Type="http://schemas.openxmlformats.org/officeDocument/2006/relationships/hyperlink" Target="https://www.harpersbazaar.in/authors/akshaya-pillai" TargetMode="External" Id="rId5" /><Relationship Type="http://schemas.openxmlformats.org/officeDocument/2006/relationships/hyperlink" Target="https://www.pressreader.com/india/hindustan-times-st-noida/20260204/281767045655792" TargetMode="External" Id="rId6" /><Relationship Type="http://schemas.openxmlformats.org/officeDocument/2006/relationships/hyperlink" Target="https://www.scribd.com/document/977838070/Vogue-India-January-February-2026" TargetMode="External" Id="rId7" /><Relationship Type="http://schemas.openxmlformats.org/officeDocument/2006/relationships/hyperlink" Target="https://www.zinio.com/in/publications/architectural-digest-india/5361" TargetMode="External" Id="rId8" /><Relationship Type="http://schemas.openxmlformats.org/officeDocument/2006/relationships/hyperlink" Target="https://x.com/Shrabonti/status/2030894494447710494" TargetMode="External" Id="rId9" /><Relationship Type="http://schemas.openxmlformats.org/officeDocument/2006/relationships/hyperlink" Target="https://muckrack.com/suveen-sinha/articles" TargetMode="External" Id="rId10" /><Relationship Type="http://schemas.openxmlformats.org/officeDocument/2006/relationships/hyperlink" Target="https://www.exchange4media.com/people-movement-news/elle-decor-india-appoints-ela-das-as-editor-158560.html" TargetMode="External" Id="rId11" /><Relationship Type="http://schemas.openxmlformats.org/officeDocument/2006/relationships/hyperlink" Target="https://muckrack.com/naini-thaker/articles" TargetMode="External" Id="rId12" /><Relationship Type="http://schemas.openxmlformats.org/officeDocument/2006/relationships/hyperlink" Target="https://en.wikipedia.org/wiki/Gayatri_Sinha" TargetMode="External" Id="rId13" /><Relationship Type="http://schemas.openxmlformats.org/officeDocument/2006/relationships/hyperlink" Target="https://en.wikipedia.org/wiki/Johny_ML" TargetMode="External" Id="rId14" /></Relationships>
</file>

<file path=xl/worksheets/_rels/sheet7.xml.rels><Relationships xmlns="http://schemas.openxmlformats.org/package/2006/relationships"><Relationship Type="http://schemas.openxmlformats.org/officeDocument/2006/relationships/hyperlink" Target="https://theprint.in/author/fareeha-iftikhar/" TargetMode="External" Id="rId1" /><Relationship Type="http://schemas.openxmlformats.org/officeDocument/2006/relationships/hyperlink" Target="https://journalarta.com/news/2026/06/29/manash-pratim-gohain-liputan-nep-2020/?all=1" TargetMode="External" Id="rId2" /><Relationship Type="http://schemas.openxmlformats.org/officeDocument/2006/relationships/hyperlink" Target="https://theorg.com/org/the-times-of-india/org-chart/priyanka-srivastava" TargetMode="External" Id="rId3" /><Relationship Type="http://schemas.openxmlformats.org/officeDocument/2006/relationships/hyperlink" Target="https://muckrack.com/rajlakshmi-ghosh/articles" TargetMode="External" Id="rId4" /><Relationship Type="http://schemas.openxmlformats.org/officeDocument/2006/relationships/hyperlink" Target="https://muckrack.com/sonal-srivastava" TargetMode="External" Id="rId5" /><Relationship Type="http://schemas.openxmlformats.org/officeDocument/2006/relationships/hyperlink" Target="https://muckrack.com/neeti-nigam/articles" TargetMode="External" Id="rId6" /><Relationship Type="http://schemas.openxmlformats.org/officeDocument/2006/relationships/hyperlink" Target="https://muckrack.com/deeksha-teri" TargetMode="External" Id="rId7" /><Relationship Type="http://schemas.openxmlformats.org/officeDocument/2006/relationships/hyperlink" Target="https://muckrack.com/prachivermaet/articles" TargetMode="External" Id="rId8" /><Relationship Type="http://schemas.openxmlformats.org/officeDocument/2006/relationships/hyperlink" Target="https://muckrack.com/abhishek-sahu-2/articles" TargetMode="External" Id="rId9" /><Relationship Type="http://schemas.openxmlformats.org/officeDocument/2006/relationships/hyperlink" Target="https://muckrack.com/puniti-pandey/articles" TargetMode="External" Id="rId10" /><Relationship Type="http://schemas.openxmlformats.org/officeDocument/2006/relationships/hyperlink" Target="https://intelligentrelations.com/journalist/sukanya-nandy/" TargetMode="External" Id="rId11" /><Relationship Type="http://schemas.openxmlformats.org/officeDocument/2006/relationships/hyperlink" Target="https://buzzsumo.com/journalist/vatsala-shrangi-92753796/" TargetMode="External" Id="rId12" /><Relationship Type="http://schemas.openxmlformats.org/officeDocument/2006/relationships/hyperlink" Target="http://bweducation.businessworld.in/author/BW-Reporters/Upasana-87081/" TargetMode="External" Id="rId13" /><Relationship Type="http://schemas.openxmlformats.org/officeDocument/2006/relationships/hyperlink" Target="https://muckrack.com/media-outlet/livemint" TargetMode="External" Id="rId14" /><Relationship Type="http://schemas.openxmlformats.org/officeDocument/2006/relationships/hyperlink" Target="https://news.careers360.com/author/sakshi-gupta" TargetMode="External" Id="rId15" /><Relationship Type="http://schemas.openxmlformats.org/officeDocument/2006/relationships/hyperlink" Target="https://www.indiatvnews.com/author/nidhi-mittal" TargetMode="External" Id="rId16" /><Relationship Type="http://schemas.openxmlformats.org/officeDocument/2006/relationships/hyperlink" Target="https://muckrack.com/smarica-pant" TargetMode="External" Id="rId17" /><Relationship Type="http://schemas.openxmlformats.org/officeDocument/2006/relationships/hyperlink" Target="https://www.linkedin.com/in/apoorva-anand-5b640046/" TargetMode="External" Id="rId18" /><Relationship Type="http://schemas.openxmlformats.org/officeDocument/2006/relationships/hyperlink" Target="https://theprint.in/author/kritika-sharma/" TargetMode="External" Id="rId19" /><Relationship Type="http://schemas.openxmlformats.org/officeDocument/2006/relationships/hyperlink" Target="https://www.linkedin.com/in/geetu-vaid-05a926b4/" TargetMode="External" Id="rId20" /><Relationship Type="http://schemas.openxmlformats.org/officeDocument/2006/relationships/hyperlink" Target="https://www.linkedin.com/in/sukrita-baruah-58aa77155/" TargetMode="External" Id="rId21" /><Relationship Type="http://schemas.openxmlformats.org/officeDocument/2006/relationships/hyperlink" Target="https://muckrack.com/leena-dhankhar/articles" TargetMode="External" Id="rId22" /><Relationship Type="http://schemas.openxmlformats.org/officeDocument/2006/relationships/hyperlink" Target="https://muckrack.com/ishita-singh-3/articles" TargetMode="External" Id="rId23" /><Relationship Type="http://schemas.openxmlformats.org/officeDocument/2006/relationships/hyperlink" Target="https://muckrack.com/shruti-kakkar/articles" TargetMode="External" Id="rId24" /><Relationship Type="http://schemas.openxmlformats.org/officeDocument/2006/relationships/hyperlink" Target="https://muckrack.com/bagishjhatoi/articles" TargetMode="External" Id="rId25" /><Relationship Type="http://schemas.openxmlformats.org/officeDocument/2006/relationships/hyperlink" Target="https://muckrack.com/joel-joseph/articles" TargetMode="External" Id="rId26" /><Relationship Type="http://schemas.openxmlformats.org/officeDocument/2006/relationships/hyperlink" Target="https://www.tribuneindia.com/author/sumedha-sharma/114" TargetMode="External" Id="rId27" /><Relationship Type="http://schemas.openxmlformats.org/officeDocument/2006/relationships/hyperlink" Target="https://www.linkedin.com/in/shradha-chettri-52044638/" TargetMode="External" Id="rId28" /><Relationship Type="http://schemas.openxmlformats.org/officeDocument/2006/relationships/hyperlink" Target="https://muckrack.com/rahul-kumar/articles" TargetMode="External" Id="rId29" /><Relationship Type="http://schemas.openxmlformats.org/officeDocument/2006/relationships/hyperlink" Target="https://muckrack.com/vikram-chaudhary/articles" TargetMode="External" Id="rId30" /><Relationship Type="http://schemas.openxmlformats.org/officeDocument/2006/relationships/hyperlink" Target="https://muckrack.com/banasree-purkayastha/articles" TargetMode="External" Id="rId31" /><Relationship Type="http://schemas.openxmlformats.org/officeDocument/2006/relationships/hyperlink" Target="https://muckrack.com/sovi-vidyadharan/articles" TargetMode="External" Id="rId32" /><Relationship Type="http://schemas.openxmlformats.org/officeDocument/2006/relationships/hyperlink" Target="https://muckrack.com/samzsays/articles" TargetMode="External" Id="rId33" /><Relationship Type="http://schemas.openxmlformats.org/officeDocument/2006/relationships/hyperlink" Target="https://muckrack.com/archit-gupta-journalist/articles" TargetMode="External" Id="rId34" /><Relationship Type="http://schemas.openxmlformats.org/officeDocument/2006/relationships/hyperlink" Target="https://muckrack.com/avishek-roy/articles" TargetMode="External" Id="rId35" /><Relationship Type="http://schemas.openxmlformats.org/officeDocument/2006/relationships/hyperlink" Target="https://muckrack.com/rutvick-mehta/articles" TargetMode="External" Id="rId36" /><Relationship Type="http://schemas.openxmlformats.org/officeDocument/2006/relationships/hyperlink" Target="https://muckrack.com/sabi-hussain/articles" TargetMode="External" Id="rId37" /><Relationship Type="http://schemas.openxmlformats.org/officeDocument/2006/relationships/hyperlink" Target="https://www.spreaker.com/podcast/express-sports--5007925" TargetMode="External" Id="rId38" /><Relationship Type="http://schemas.openxmlformats.org/officeDocument/2006/relationships/hyperlink" Target="https://x.com/ybsarangi" TargetMode="External" Id="rId39" /><Relationship Type="http://schemas.openxmlformats.org/officeDocument/2006/relationships/hyperlink" Target="https://muckrack.com/ayon-sengupta-1/articles" TargetMode="External" Id="rId40" /></Relationships>
</file>

<file path=xl/worksheets/_rels/sheet8.xml.rels><Relationships xmlns="http://schemas.openxmlformats.org/package/2006/relationships"><Relationship Type="http://schemas.openxmlformats.org/officeDocument/2006/relationships/hyperlink" Target="https://www.linkedin.com/in/aasheesh-sharma/" TargetMode="External" Id="rId1" /><Relationship Type="http://schemas.openxmlformats.org/officeDocument/2006/relationships/hyperlink" Target="https://x.com/Shrabonti/status/2030894494447710494" TargetMode="External" Id="rId2" /><Relationship Type="http://schemas.openxmlformats.org/officeDocument/2006/relationships/hyperlink" Target="https://theprint.in/author/fareeha-iftikhar/" TargetMode="External" Id="rId3" /><Relationship Type="http://schemas.openxmlformats.org/officeDocument/2006/relationships/hyperlink" Target="https://muckrack.com/abhishek-sahu-2/articles" TargetMode="External" Id="rId4" /><Relationship Type="http://schemas.openxmlformats.org/officeDocument/2006/relationships/hyperlink" Target="https://news.careers360.com/author/sakshi-gupta" TargetMode="External" Id="rId5" /><Relationship Type="http://schemas.openxmlformats.org/officeDocument/2006/relationships/hyperlink" Target="https://www.linkedin.com/in/saurav-pandey-1083b8221/" TargetMode="External" Id="rId6" /><Relationship Type="http://schemas.openxmlformats.org/officeDocument/2006/relationships/hyperlink" Target="https://muckrack.com/shreya-mundhra/bio" TargetMode="External" Id="rId7" /><Relationship Type="http://schemas.openxmlformats.org/officeDocument/2006/relationships/hyperlink" Target="https://www.linkedin.com/in/danita-yadav/" TargetMode="External" Id="rId8" /><Relationship Type="http://schemas.openxmlformats.org/officeDocument/2006/relationships/hyperlink" Target="https://www.exchange4media.com/experiential-marketing-news/monika-rawal-joins-times-internet-as-consulting-editor-events-and-special-projects-146470.html" TargetMode="External" Id="rId9" /><Relationship Type="http://schemas.openxmlformats.org/officeDocument/2006/relationships/hyperlink" Target="https://elle.in/contact-us" TargetMode="External" Id="rId10" /><Relationship Type="http://schemas.openxmlformats.org/officeDocument/2006/relationships/hyperlink" Target="https://www.exchange4media.com/people-movement-news/ruchika-mehta-takes-additional-charge-as-editor-of-india-today-spice-158393.html" TargetMode="External" Id="rId11" /><Relationship Type="http://schemas.openxmlformats.org/officeDocument/2006/relationships/hyperlink" Target="https://muckrack.com/puniti-pandey/articles" TargetMode="External" Id="rId12" /><Relationship Type="http://schemas.openxmlformats.org/officeDocument/2006/relationships/hyperlink" Target="https://muckrack.com/deeksha-teri" TargetMode="External" Id="rId13" /></Relationships>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8" customWidth="1" min="1" max="1"/>
    <col width="110" customWidth="1" min="2" max="2"/>
    <col width="18" customWidth="1" min="3" max="3"/>
    <col width="18" customWidth="1" min="4" max="4"/>
    <col width="18" customWidth="1" min="5" max="5"/>
    <col width="18" customWidth="1" min="6" max="6"/>
  </cols>
  <sheetData>
    <row r="1">
      <c r="A1" s="1" t="inlineStr">
        <is>
          <t>Target Media List (TML): October 2026</t>
        </is>
      </c>
    </row>
    <row r="3">
      <c r="A3" s="2" t="inlineStr">
        <is>
          <t>Prepared</t>
        </is>
      </c>
      <c r="B3" s="3" t="inlineStr">
        <is>
          <t>4 Oct 2026, from online research plus the media lists in this repository.</t>
        </is>
      </c>
    </row>
    <row r="4">
      <c r="A4" s="2" t="inlineStr">
        <is>
          <t>Scope</t>
        </is>
      </c>
      <c r="B4" s="3" t="inlineStr">
        <is>
          <t>Alcobev + F&amp;B (Six Brothers, DeVANS, Mast Banarasi Paan); Devyani Jaipuria only: Lifestyle, Celebrity &amp; Society, and Luxury/Art/Business tabs; DHS Gurugram (Delhi NCR education).</t>
        </is>
      </c>
    </row>
    <row r="5">
      <c r="A5" s="2" t="inlineStr">
        <is>
          <t>Round 2</t>
        </is>
      </c>
      <c r="B5" s="3" t="inlineStr">
        <is>
          <t>Added names found through new online research that are not in your lists. Their Contact Source reads 'New research: contact to source'; phone and email are left blank for you to fill. DHS tab now also includes sports journalists (marked SPORTS in Notes) for the sports-complex angle.</t>
        </is>
      </c>
    </row>
    <row r="6">
      <c r="A6" s="2" t="inlineStr">
        <is>
          <t>Listicles</t>
        </is>
      </c>
      <c r="B6" s="3" t="inlineStr">
        <is>
          <t>See also the 'Alcobev Listicles - Verify' tab: brand lists whose author was not visible, with links to check the byline (yellow column to fill). Alcobev + F&amp;B tab, column N: YES = confirmed brand listicles (name highlighted); LIKELY = brand round-ups; OUTLET = publication runs brand lists, pitch via the editor; VENUE = lists bars/restaurants, not brands.</t>
        </is>
      </c>
    </row>
    <row r="7">
      <c r="A7" s="2" t="inlineStr">
        <is>
          <t>Method</t>
        </is>
      </c>
      <c r="B7" s="3" t="inlineStr">
        <is>
          <t>Each name was checked online for a current role at the outlet and recent work on the same beat (2026 bylines, mastheads, appointment notices). Phone and email were taken only from the existing lists in this repo, never guessed.</t>
        </is>
      </c>
    </row>
    <row r="8">
      <c r="A8" s="2" t="inlineStr">
        <is>
          <t>Contacts</t>
        </is>
      </c>
      <c r="B8" s="3" t="inlineStr">
        <is>
          <t>Blank phone or email means the person is not in your lists. Source contacts via your PR database or LinkedIn. Emails tied to an old employer were removed and are listed on the 'Moved - Do Not Use' tab.</t>
        </is>
      </c>
    </row>
    <row r="9">
      <c r="A9" s="2" t="inlineStr">
        <is>
          <t>Limits</t>
        </is>
      </c>
      <c r="B9" s="3" t="inlineStr">
        <is>
          <t>Publisher websites could not be opened directly from this environment, so verification relied on search results (author pages, Muck Rack, LinkedIn, trade press). Rows marked 'To confirm' need a quick call or email check before pitching.</t>
        </is>
      </c>
    </row>
    <row r="10">
      <c r="A10" s="2" t="inlineStr">
        <is>
          <t>Gaps</t>
        </is>
      </c>
      <c r="B10" s="3" t="inlineStr">
        <is>
          <t>No named Delhi Times (TOI) society writer or HT Gurugram schools reporter could be confirmed online; worth sourcing through your network.</t>
        </is>
      </c>
    </row>
    <row r="12">
      <c r="A12" s="4" t="inlineStr">
        <is>
          <t>Verification status</t>
        </is>
      </c>
    </row>
    <row r="13">
      <c r="A13" s="5" t="inlineStr">
        <is>
          <t>Verified - active 2026</t>
        </is>
      </c>
      <c r="B13" s="6" t="inlineStr">
        <is>
          <t>A 2026-dated byline, column, appointment or public appearance at this outlet on this beat.</t>
        </is>
      </c>
    </row>
    <row r="14">
      <c r="A14" s="7" t="inlineStr">
        <is>
          <t>Verified - current role</t>
        </is>
      </c>
      <c r="B14" s="6" t="inlineStr">
        <is>
          <t>Current role confirmed by masthead, profile or appointment notice; no 2026-dated byline found.</t>
        </is>
      </c>
    </row>
    <row r="15">
      <c r="A15" s="8" t="inlineStr">
        <is>
          <t>To confirm</t>
        </is>
      </c>
      <c r="B15" s="6" t="inlineStr">
        <is>
          <t>Partial or older evidence only. Confirm before pitching.</t>
        </is>
      </c>
    </row>
    <row r="16">
      <c r="A16" s="9" t="inlineStr">
        <is>
          <t>Moved - updated</t>
        </is>
      </c>
      <c r="B16" s="6" t="inlineStr">
        <is>
          <t>Your lists had this person at another outlet or desk; the row shows the current one.</t>
        </is>
      </c>
    </row>
    <row r="18">
      <c r="A18" s="4" t="inlineStr">
        <is>
          <t>Summary</t>
        </is>
      </c>
    </row>
    <row r="19">
      <c r="A19" s="10" t="inlineStr">
        <is>
          <t>Tab</t>
        </is>
      </c>
      <c r="B19" s="10" t="inlineStr">
        <is>
          <t>Total</t>
        </is>
      </c>
      <c r="C19" s="10" t="inlineStr">
        <is>
          <t>Verified - active 2026</t>
        </is>
      </c>
      <c r="D19" s="10" t="inlineStr">
        <is>
          <t>Verified - current role</t>
        </is>
      </c>
      <c r="E19" s="10" t="inlineStr">
        <is>
          <t>To confirm</t>
        </is>
      </c>
      <c r="F19" s="10" t="inlineStr">
        <is>
          <t>Moved - updated</t>
        </is>
      </c>
    </row>
    <row r="20">
      <c r="A20" s="11" t="inlineStr">
        <is>
          <t>Alcobev + F&amp;B</t>
        </is>
      </c>
      <c r="B20" s="11">
        <f>COUNTA('Alcobev + F&amp;B'!$B$5:$B$48)</f>
        <v/>
      </c>
      <c r="C20" s="11">
        <f>COUNTIF('Alcobev + F&amp;B'!$J$5:$J$48,"Verified - active 2026")</f>
        <v/>
      </c>
      <c r="D20" s="11">
        <f>COUNTIF('Alcobev + F&amp;B'!$J$5:$J$48,"Verified - current role")</f>
        <v/>
      </c>
      <c r="E20" s="11">
        <f>COUNTIF('Alcobev + F&amp;B'!$J$5:$J$48,"To confirm")</f>
        <v/>
      </c>
      <c r="F20" s="11">
        <f>COUNTIF('Alcobev + F&amp;B'!$J$5:$J$48,"Moved - updated")</f>
        <v/>
      </c>
    </row>
    <row r="21">
      <c r="A21" s="11" t="inlineStr">
        <is>
          <t>Devyani - Lifestyle</t>
        </is>
      </c>
      <c r="B21" s="11">
        <f>COUNTA('Devyani - Lifestyle'!$B$5:$B$28)</f>
        <v/>
      </c>
      <c r="C21" s="11">
        <f>COUNTIF('Devyani - Lifestyle'!$J$5:$J$28,"Verified - active 2026")</f>
        <v/>
      </c>
      <c r="D21" s="11">
        <f>COUNTIF('Devyani - Lifestyle'!$J$5:$J$28,"Verified - current role")</f>
        <v/>
      </c>
      <c r="E21" s="11">
        <f>COUNTIF('Devyani - Lifestyle'!$J$5:$J$28,"To confirm")</f>
        <v/>
      </c>
      <c r="F21" s="11">
        <f>COUNTIF('Devyani - Lifestyle'!$J$5:$J$28,"Moved - updated")</f>
        <v/>
      </c>
    </row>
    <row r="22">
      <c r="A22" s="11" t="inlineStr">
        <is>
          <t>Devyani - Celebrity &amp; Society</t>
        </is>
      </c>
      <c r="B22" s="11">
        <f>COUNTA('Devyani - Celebrity &amp; Society'!$B$5:$B$13)</f>
        <v/>
      </c>
      <c r="C22" s="11">
        <f>COUNTIF('Devyani - Celebrity &amp; Society'!$J$5:$J$13,"Verified - active 2026")</f>
        <v/>
      </c>
      <c r="D22" s="11">
        <f>COUNTIF('Devyani - Celebrity &amp; Society'!$J$5:$J$13,"Verified - current role")</f>
        <v/>
      </c>
      <c r="E22" s="11">
        <f>COUNTIF('Devyani - Celebrity &amp; Society'!$J$5:$J$13,"To confirm")</f>
        <v/>
      </c>
      <c r="F22" s="11">
        <f>COUNTIF('Devyani - Celebrity &amp; Society'!$J$5:$J$13,"Moved - updated")</f>
        <v/>
      </c>
    </row>
    <row r="23">
      <c r="A23" s="11" t="inlineStr">
        <is>
          <t>Devyani - Luxury, Art, Biz</t>
        </is>
      </c>
      <c r="B23" s="11">
        <f>COUNTA('Devyani - Luxury, Art, Biz'!$B$5:$B$18)</f>
        <v/>
      </c>
      <c r="C23" s="11">
        <f>COUNTIF('Devyani - Luxury, Art, Biz'!$J$5:$J$18,"Verified - active 2026")</f>
        <v/>
      </c>
      <c r="D23" s="11">
        <f>COUNTIF('Devyani - Luxury, Art, Biz'!$J$5:$J$18,"Verified - current role")</f>
        <v/>
      </c>
      <c r="E23" s="11">
        <f>COUNTIF('Devyani - Luxury, Art, Biz'!$J$5:$J$18,"To confirm")</f>
        <v/>
      </c>
      <c r="F23" s="11">
        <f>COUNTIF('Devyani - Luxury, Art, Biz'!$J$5:$J$18,"Moved - updated")</f>
        <v/>
      </c>
    </row>
    <row r="24">
      <c r="A24" s="11" t="inlineStr">
        <is>
          <t>DHS - Delhi NCR Education</t>
        </is>
      </c>
      <c r="B24" s="11">
        <f>COUNTA('DHS - Delhi NCR Education'!$B$5:$B$47)</f>
        <v/>
      </c>
      <c r="C24" s="11">
        <f>COUNTIF('DHS - Delhi NCR Education'!$J$5:$J$47,"Verified - active 2026")</f>
        <v/>
      </c>
      <c r="D24" s="11">
        <f>COUNTIF('DHS - Delhi NCR Education'!$J$5:$J$47,"Verified - current role")</f>
        <v/>
      </c>
      <c r="E24" s="11">
        <f>COUNTIF('DHS - Delhi NCR Education'!$J$5:$J$47,"To confirm")</f>
        <v/>
      </c>
      <c r="F24" s="11">
        <f>COUNTIF('DHS - Delhi NCR Education'!$J$5:$J$47,"Moved - updated")</f>
        <v/>
      </c>
    </row>
    <row r="25">
      <c r="A25" s="12" t="inlineStr">
        <is>
          <t>Total</t>
        </is>
      </c>
      <c r="B25" s="12">
        <f>SUM(B20:B24)</f>
        <v/>
      </c>
      <c r="C25" s="12">
        <f>SUM(C20:C24)</f>
        <v/>
      </c>
      <c r="D25" s="12">
        <f>SUM(D20:D24)</f>
        <v/>
      </c>
      <c r="E25" s="12">
        <f>SUM(E20:E24)</f>
        <v/>
      </c>
      <c r="F25" s="12">
        <f>SUM(F20:F24)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8" customWidth="1" min="3" max="3"/>
    <col width="30" customWidth="1" min="4" max="4"/>
    <col width="30" customWidth="1" min="5" max="5"/>
    <col width="14" customWidth="1" min="6" max="6"/>
    <col width="16" customWidth="1" min="7" max="7"/>
    <col width="34" customWidth="1" min="8" max="8"/>
    <col width="28" customWidth="1" min="9" max="9"/>
    <col width="22" customWidth="1" min="10" max="10"/>
    <col width="50" customWidth="1" min="11" max="11"/>
    <col width="40" customWidth="1" min="12" max="12"/>
    <col width="46" customWidth="1" min="13" max="13"/>
    <col width="26" customWidth="1" min="14" max="14"/>
    <col width="60" customWidth="1" min="15" max="15"/>
  </cols>
  <sheetData>
    <row r="1">
      <c r="A1" s="1" t="inlineStr">
        <is>
          <t>Alcobev + F&amp;B</t>
        </is>
      </c>
    </row>
    <row r="2">
      <c r="A2" s="13" t="inlineStr">
        <is>
          <t>Alcobev, spirits, bars and F&amp;B business journalists. Brands: Six Brothers Distilleries (mahua), DeVANS Modern Breweries, Mast Banarasi Paan. Column N flags writers who do brand listicles (highlighted names = confirmed); filter column N to see them.</t>
        </is>
      </c>
    </row>
    <row r="4" ht="30" customHeight="1">
      <c r="A4" s="10" t="inlineStr">
        <is>
          <t>S.No</t>
        </is>
      </c>
      <c r="B4" s="10" t="inlineStr">
        <is>
          <t>Journalist Name</t>
        </is>
      </c>
      <c r="C4" s="10" t="inlineStr">
        <is>
          <t>Designation</t>
        </is>
      </c>
      <c r="D4" s="10" t="inlineStr">
        <is>
          <t>Organisation</t>
        </is>
      </c>
      <c r="E4" s="10" t="inlineStr">
        <is>
          <t>Beat / Vertical</t>
        </is>
      </c>
      <c r="F4" s="10" t="inlineStr">
        <is>
          <t>City</t>
        </is>
      </c>
      <c r="G4" s="10" t="inlineStr">
        <is>
          <t>Phone</t>
        </is>
      </c>
      <c r="H4" s="10" t="inlineStr">
        <is>
          <t>Email</t>
        </is>
      </c>
      <c r="I4" s="10" t="inlineStr">
        <is>
          <t>Contact Source (your lists)</t>
        </is>
      </c>
      <c r="J4" s="10" t="inlineStr">
        <is>
          <t>Verification Status</t>
        </is>
      </c>
      <c r="K4" s="10" t="inlineStr">
        <is>
          <t>Latest Activity Found</t>
        </is>
      </c>
      <c r="L4" s="10" t="inlineStr">
        <is>
          <t>Evidence Link</t>
        </is>
      </c>
      <c r="M4" s="10" t="inlineStr">
        <is>
          <t>Notes / Brand Fit</t>
        </is>
      </c>
      <c r="N4" s="14" t="inlineStr">
        <is>
          <t>Brand Listicles?</t>
        </is>
      </c>
      <c r="O4" s="14" t="inlineStr">
        <is>
          <t>Listicle Evidence</t>
        </is>
      </c>
    </row>
    <row r="5">
      <c r="A5" s="6" t="n">
        <v>1</v>
      </c>
      <c r="B5" s="6" t="inlineStr">
        <is>
          <t>Bishan Kumar</t>
        </is>
      </c>
      <c r="C5" s="6" t="inlineStr">
        <is>
          <t>Editor-in-Chief</t>
        </is>
      </c>
      <c r="D5" s="6" t="inlineStr">
        <is>
          <t>Spiritz Magazine (Blue Ink Media)</t>
        </is>
      </c>
      <c r="E5" s="6" t="inlineStr">
        <is>
          <t>Alcobev trade: spirits, beer, bars, hospitality</t>
        </is>
      </c>
      <c r="F5" s="6" t="inlineStr">
        <is>
          <t>New Delhi</t>
        </is>
      </c>
      <c r="G5" s="6" t="n"/>
      <c r="H5" s="6" t="n"/>
      <c r="I5" s="6" t="inlineStr">
        <is>
          <t>Not in lists</t>
        </is>
      </c>
      <c r="J5" s="15" t="inlineStr">
        <is>
          <t>Verified - current role</t>
        </is>
      </c>
      <c r="K5" s="6" t="inlineStr">
        <is>
          <t>Listed as Editor-in-Chief on company directory (spiritz.in domain)</t>
        </is>
      </c>
      <c r="L5" s="16" t="inlineStr">
        <is>
          <t>https://www.zoominfo.com/p/Bishan-Kumar/9350175409</t>
        </is>
      </c>
      <c r="M5" s="6" t="inlineStr">
        <is>
          <t>Specialist alcobev trade title. Fit: Six Brothers (mahua revival), DeVANS launches and awards.</t>
        </is>
      </c>
      <c r="N5" s="6" t="inlineStr">
        <is>
          <t>No evidence found</t>
        </is>
      </c>
      <c r="O5" s="6" t="n"/>
    </row>
    <row r="6">
      <c r="A6" s="6" t="n">
        <v>2</v>
      </c>
      <c r="B6" s="6" t="inlineStr">
        <is>
          <t>Rajesh Kumar Chaubey</t>
        </is>
      </c>
      <c r="C6" s="6" t="inlineStr">
        <is>
          <t>Chief Editor</t>
        </is>
      </c>
      <c r="D6" s="6" t="inlineStr">
        <is>
          <t>Aabkari Times</t>
        </is>
      </c>
      <c r="E6" s="6" t="inlineStr">
        <is>
          <t>Excise policy and alcobev industry (Hindi/English monthly)</t>
        </is>
      </c>
      <c r="F6" s="6" t="inlineStr">
        <is>
          <t>Prayagraj</t>
        </is>
      </c>
      <c r="G6" s="6" t="n"/>
      <c r="H6" s="6" t="n"/>
      <c r="I6" s="6" t="inlineStr">
        <is>
          <t>Not in lists</t>
        </is>
      </c>
      <c r="J6" s="15" t="inlineStr">
        <is>
          <t>Verified - current role</t>
        </is>
      </c>
      <c r="K6" s="6" t="inlineStr">
        <is>
          <t>Named Chief Editor on editorial policy page; site publishing in 2026 (Mar 2026 article)</t>
        </is>
      </c>
      <c r="L6" s="16" t="inlineStr">
        <is>
          <t>https://aabkaritimes.com/editorial-policy/</t>
        </is>
      </c>
      <c r="M6" s="6" t="inlineStr">
        <is>
          <t>Fit: DeVANS (policy, state markets), mahua heritage-liquor policy angle.</t>
        </is>
      </c>
      <c r="N6" s="6" t="inlineStr">
        <is>
          <t>No evidence found</t>
        </is>
      </c>
      <c r="O6" s="6" t="n"/>
    </row>
    <row r="7">
      <c r="A7" s="6" t="n">
        <v>3</v>
      </c>
      <c r="B7" s="6" t="inlineStr">
        <is>
          <t>Prem Shankar Mishra</t>
        </is>
      </c>
      <c r="C7" s="6" t="inlineStr">
        <is>
          <t>Founder and Managing Editor</t>
        </is>
      </c>
      <c r="D7" s="6" t="inlineStr">
        <is>
          <t>Aabkari Times</t>
        </is>
      </c>
      <c r="E7" s="6" t="inlineStr">
        <is>
          <t>Excise policy and alcobev industry</t>
        </is>
      </c>
      <c r="F7" s="6" t="inlineStr">
        <is>
          <t>Prayagraj</t>
        </is>
      </c>
      <c r="G7" s="6" t="n"/>
      <c r="H7" s="6" t="n"/>
      <c r="I7" s="6" t="inlineStr">
        <is>
          <t>Not in lists</t>
        </is>
      </c>
      <c r="J7" s="15" t="inlineStr">
        <is>
          <t>Verified - current role</t>
        </is>
      </c>
      <c r="K7" s="6" t="inlineStr">
        <is>
          <t>Founder and Managing Editor per masthead and LinkedIn</t>
        </is>
      </c>
      <c r="L7" s="16" t="inlineStr">
        <is>
          <t>https://www.linkedin.com/in/ps-mishra-772a0328/</t>
        </is>
      </c>
      <c r="M7" s="6" t="inlineStr">
        <is>
          <t>Same outlet as above; pitch one of the two, not both.</t>
        </is>
      </c>
      <c r="N7" s="6" t="inlineStr">
        <is>
          <t>No evidence found</t>
        </is>
      </c>
      <c r="O7" s="6" t="n"/>
    </row>
    <row r="8">
      <c r="A8" s="6" t="n">
        <v>4</v>
      </c>
      <c r="B8" s="6" t="inlineStr">
        <is>
          <t>Aneeka Chatterjee</t>
        </is>
      </c>
      <c r="C8" s="6" t="inlineStr">
        <is>
          <t>Correspondent</t>
        </is>
      </c>
      <c r="D8" s="6" t="inlineStr">
        <is>
          <t>Business Standard</t>
        </is>
      </c>
      <c r="E8" s="6" t="inlineStr">
        <is>
          <t>Consumer, FMCG and alcobev business</t>
        </is>
      </c>
      <c r="F8" s="6" t="inlineStr">
        <is>
          <t>Bengaluru</t>
        </is>
      </c>
      <c r="G8" s="6" t="inlineStr">
        <is>
          <t>8240053834</t>
        </is>
      </c>
      <c r="H8" s="6" t="inlineStr">
        <is>
          <t>aneeka.chatterjee@bsmail.in</t>
        </is>
      </c>
      <c r="I8" s="6" t="inlineStr">
        <is>
          <t>Anna's Health Media List; NH Media list</t>
        </is>
      </c>
      <c r="J8" s="17" t="inlineStr">
        <is>
          <t>Verified - active 2026</t>
        </is>
      </c>
      <c r="K8" s="6" t="inlineStr">
        <is>
          <t>Byline: 'Results preview: Alcobev industry growth may have cooled in Q3FY26' (15 Jan 2026)</t>
        </is>
      </c>
      <c r="L8" s="16" t="inlineStr">
        <is>
          <t>https://www.business-standard.com/industry/news/results-preview-alcobev-industry-growth-may-have-cooled-in-q3fy26-126011501168_1.html</t>
        </is>
      </c>
      <c r="M8" s="6" t="inlineStr">
        <is>
          <t>Business-side alcobev. Fit: DeVANS, Six Brothers once founders are confirmed.</t>
        </is>
      </c>
      <c r="N8" s="6" t="inlineStr">
        <is>
          <t>No evidence found</t>
        </is>
      </c>
      <c r="O8" s="6" t="n"/>
    </row>
    <row r="9">
      <c r="A9" s="6" t="n">
        <v>5</v>
      </c>
      <c r="B9" s="6" t="inlineStr">
        <is>
          <t>Akshara Srivastava</t>
        </is>
      </c>
      <c r="C9" s="6" t="inlineStr">
        <is>
          <t>Correspondent (consumption beat)</t>
        </is>
      </c>
      <c r="D9" s="6" t="inlineStr">
        <is>
          <t>Business Standard</t>
        </is>
      </c>
      <c r="E9" s="6" t="inlineStr">
        <is>
          <t>FMCG, beverages, retail, luxury, hospitality</t>
        </is>
      </c>
      <c r="F9" s="6" t="inlineStr">
        <is>
          <t>New Delhi</t>
        </is>
      </c>
      <c r="G9" s="6" t="n"/>
      <c r="H9" s="6" t="n"/>
      <c r="I9" s="6" t="inlineStr">
        <is>
          <t>Not in lists</t>
        </is>
      </c>
      <c r="J9" s="17" t="inlineStr">
        <is>
          <t>Verified - active 2026</t>
        </is>
      </c>
      <c r="K9" s="6" t="inlineStr">
        <is>
          <t>Author page shows 2026 stories on FMCG, beverages, premiumisation</t>
        </is>
      </c>
      <c r="L9" s="16" t="inlineStr">
        <is>
          <t>https://www.business-standard.com/author/akshara-srivastava/page-2</t>
        </is>
      </c>
      <c r="M9" s="6" t="inlineStr">
        <is>
          <t>Fit: Mast Banarasi Paan (organised F&amp;B, fundraise), alcobev premiumisation.</t>
        </is>
      </c>
      <c r="N9" s="6" t="inlineStr">
        <is>
          <t>No evidence found</t>
        </is>
      </c>
      <c r="O9" s="6" t="n"/>
    </row>
    <row r="10">
      <c r="A10" s="6" t="n">
        <v>6</v>
      </c>
      <c r="B10" s="6" t="inlineStr">
        <is>
          <t>Suneera Tandon</t>
        </is>
      </c>
      <c r="C10" s="6" t="inlineStr">
        <is>
          <t>Reporter</t>
        </is>
      </c>
      <c r="D10" s="6" t="inlineStr">
        <is>
          <t>Mint</t>
        </is>
      </c>
      <c r="E10" s="6" t="inlineStr">
        <is>
          <t>Consumer goods, retail, food and beverages</t>
        </is>
      </c>
      <c r="F10" s="6" t="inlineStr">
        <is>
          <t>New Delhi</t>
        </is>
      </c>
      <c r="G10" s="6" t="inlineStr">
        <is>
          <t>9810445443</t>
        </is>
      </c>
      <c r="H10" s="6" t="inlineStr">
        <is>
          <t>suneera.tandon@livemint.com; suneera.t@htlive.com</t>
        </is>
      </c>
      <c r="I10" s="6" t="inlineStr">
        <is>
          <t>A &amp; M Media List; Sports Media List PDF</t>
        </is>
      </c>
      <c r="J10" s="17" t="inlineStr">
        <is>
          <t>Verified - active 2026</t>
        </is>
      </c>
      <c r="K10" s="6" t="inlineStr">
        <is>
          <t>2026 Mint bylines incl. 'India's FMCG sector is entering 2026 betting on volumes, not prices'</t>
        </is>
      </c>
      <c r="L10" s="16" t="inlineStr">
        <is>
          <t>https://muckrack.com/suneera-tandon</t>
        </is>
      </c>
      <c r="M10" s="6" t="inlineStr">
        <is>
          <t>Fit: Mast Banarasi Paan INR 50 cr FY27 and fundraise story; alcobev business.</t>
        </is>
      </c>
      <c r="N10" s="6" t="inlineStr">
        <is>
          <t>No evidence found</t>
        </is>
      </c>
      <c r="O10" s="6" t="n"/>
    </row>
    <row r="11">
      <c r="A11" s="6" t="n">
        <v>7</v>
      </c>
      <c r="B11" s="6" t="inlineStr">
        <is>
          <t>Tarannum Manjul</t>
        </is>
      </c>
      <c r="C11" s="6" t="inlineStr">
        <is>
          <t>Writer (designation to confirm)</t>
        </is>
      </c>
      <c r="D11" s="6" t="inlineStr">
        <is>
          <t>BW Retail World (BW Businessworld)</t>
        </is>
      </c>
      <c r="E11" s="6" t="inlineStr">
        <is>
          <t>Food and beverage, alcobev retail</t>
        </is>
      </c>
      <c r="F11" s="6" t="inlineStr">
        <is>
          <t>New Delhi</t>
        </is>
      </c>
      <c r="G11" s="6" t="n"/>
      <c r="H11" s="6" t="n"/>
      <c r="I11" s="6" t="inlineStr">
        <is>
          <t>Not in lists</t>
        </is>
      </c>
      <c r="J11" s="17" t="inlineStr">
        <is>
          <t>Verified - active 2026</t>
        </is>
      </c>
      <c r="K11" s="6" t="inlineStr">
        <is>
          <t>Byline: 'India Alcobev Trends 2026: Premiumisation, Moderation, Reform'</t>
        </is>
      </c>
      <c r="L11" s="16" t="inlineStr">
        <is>
          <t>https://bwretailworld.com/food-beverage/india-alcobev-trends-2026-premiumisation-moderation-reform</t>
        </is>
      </c>
      <c r="M11" s="6" t="inlineStr">
        <is>
          <t>Fit: DeVANS, Six Brothers, Mast Banarasi Paan (F&amp;B retail).</t>
        </is>
      </c>
      <c r="N11" s="6" t="inlineStr">
        <is>
          <t>No evidence found</t>
        </is>
      </c>
      <c r="O11" s="6" t="n"/>
    </row>
    <row r="12">
      <c r="A12" s="6" t="n">
        <v>8</v>
      </c>
      <c r="B12" s="6" t="inlineStr">
        <is>
          <t>Alka Jain</t>
        </is>
      </c>
      <c r="C12" s="6" t="inlineStr">
        <is>
          <t>Journalist</t>
        </is>
      </c>
      <c r="D12" s="6" t="inlineStr">
        <is>
          <t>Outlook Business</t>
        </is>
      </c>
      <c r="E12" s="6" t="inlineStr">
        <is>
          <t>Industry, alcobev market</t>
        </is>
      </c>
      <c r="F12" s="6" t="inlineStr">
        <is>
          <t>New Delhi</t>
        </is>
      </c>
      <c r="G12" s="6" t="n"/>
      <c r="H12" s="6" t="n"/>
      <c r="I12" s="6" t="inlineStr">
        <is>
          <t>Real Estate Media List (name only, no contact)</t>
        </is>
      </c>
      <c r="J12" s="18" t="inlineStr">
        <is>
          <t>To confirm</t>
        </is>
      </c>
      <c r="K12" s="6" t="inlineStr">
        <is>
          <t>Byline: 'India's Alcobev Market Splits Into A K-Shaped Growth Story' (date to confirm)</t>
        </is>
      </c>
      <c r="L12" s="16" t="inlineStr">
        <is>
          <t>https://www.outlookbusiness.com/industry/indias-alcobev-market-splits-into-a-k-shaped-growth-story</t>
        </is>
      </c>
      <c r="M12" s="6" t="inlineStr">
        <is>
          <t>Your list has her as Outlook Publishing Senior Subeditor with no contact.</t>
        </is>
      </c>
      <c r="N12" s="6" t="inlineStr">
        <is>
          <t>No evidence found</t>
        </is>
      </c>
      <c r="O12" s="6" t="n"/>
    </row>
    <row r="13">
      <c r="A13" s="6" t="n">
        <v>9</v>
      </c>
      <c r="B13" s="19" t="inlineStr">
        <is>
          <t>Saptopriya Ghosal</t>
        </is>
      </c>
      <c r="C13" s="6" t="inlineStr">
        <is>
          <t>Junior Writer</t>
        </is>
      </c>
      <c r="D13" s="6" t="inlineStr">
        <is>
          <t>Restaurant India (Franchise India Media)</t>
        </is>
      </c>
      <c r="E13" s="6" t="inlineStr">
        <is>
          <t>Spirits, whisky, bars, F&amp;B</t>
        </is>
      </c>
      <c r="F13" s="6" t="inlineStr">
        <is>
          <t>New Delhi</t>
        </is>
      </c>
      <c r="G13" s="6" t="n"/>
      <c r="H13" s="6" t="n"/>
      <c r="I13" s="6" t="inlineStr">
        <is>
          <t>Not in lists</t>
        </is>
      </c>
      <c r="J13" s="17" t="inlineStr">
        <is>
          <t>Verified - active 2026</t>
        </is>
      </c>
      <c r="K13" s="6" t="inlineStr">
        <is>
          <t>Byline: '7 Indian Spirits Most Drinkers Outside India Have Never Heard Of' (8 Sep 2026), covers mahua</t>
        </is>
      </c>
      <c r="L13" s="16" t="inlineStr">
        <is>
          <t>https://www.restaurantindia.in/article/7-indian-spirits-most-drinkers-outside-india-have-never-heard-of.17178</t>
        </is>
      </c>
      <c r="M13" s="6" t="inlineStr">
        <is>
          <t>Strong fit: Six Brothers mahua heritage angle; DeVANS whisky/beer.</t>
        </is>
      </c>
      <c r="N13" s="20" t="inlineStr">
        <is>
          <t>YES - brand listicles</t>
        </is>
      </c>
      <c r="O13" s="6" t="inlineStr">
        <is>
          <t>'Top Craft &amp; Boutique Alcohol Brands to Watch in 2026'; '7 Indian Spirits Most Drinkers Outside India Have Never Heard Of' (Sep 2026)</t>
        </is>
      </c>
    </row>
    <row r="14">
      <c r="A14" s="6" t="n">
        <v>10</v>
      </c>
      <c r="B14" s="6" t="inlineStr">
        <is>
          <t>Vijetha Iyer</t>
        </is>
      </c>
      <c r="C14" s="6" t="inlineStr">
        <is>
          <t>Writer</t>
        </is>
      </c>
      <c r="D14" s="6" t="inlineStr">
        <is>
          <t>Restaurant India (Franchise India Media)</t>
        </is>
      </c>
      <c r="E14" s="6" t="inlineStr">
        <is>
          <t>Bars, cocktail culture</t>
        </is>
      </c>
      <c r="F14" s="6" t="inlineStr">
        <is>
          <t>New Delhi</t>
        </is>
      </c>
      <c r="G14" s="6" t="n"/>
      <c r="H14" s="6" t="n"/>
      <c r="I14" s="6" t="inlineStr">
        <is>
          <t>Not in lists</t>
        </is>
      </c>
      <c r="J14" s="17" t="inlineStr">
        <is>
          <t>Verified - active 2026</t>
        </is>
      </c>
      <c r="K14" s="6" t="inlineStr">
        <is>
          <t>Byline: 'How India's Cocktail Culture is Redefining the Modern Bar Experience' (23 Jul 2026)</t>
        </is>
      </c>
      <c r="L14" s="16" t="inlineStr">
        <is>
          <t>https://www.restaurantindia.in/article/how-indias-cocktail-culture-is-redefining-the-modern-bar-experience.16809</t>
        </is>
      </c>
      <c r="M14" s="6" t="inlineStr">
        <is>
          <t>Fit: Six Brothers (mahua in cocktails), DeVANS gin/RTD.</t>
        </is>
      </c>
      <c r="N14" s="6" t="inlineStr">
        <is>
          <t>No evidence found</t>
        </is>
      </c>
      <c r="O14" s="6" t="n"/>
    </row>
    <row r="15">
      <c r="A15" s="6" t="n">
        <v>11</v>
      </c>
      <c r="B15" s="6" t="inlineStr">
        <is>
          <t>Ritu Marya</t>
        </is>
      </c>
      <c r="C15" s="6" t="inlineStr">
        <is>
          <t>Editor-in-Chief</t>
        </is>
      </c>
      <c r="D15" s="6" t="inlineStr">
        <is>
          <t>Franchise India Media (Entrepreneur India, Restaurant India, Indian Retailer)</t>
        </is>
      </c>
      <c r="E15" s="6" t="inlineStr">
        <is>
          <t>F&amp;B business, franchising, restaurants</t>
        </is>
      </c>
      <c r="F15" s="6" t="inlineStr">
        <is>
          <t>New Delhi</t>
        </is>
      </c>
      <c r="G15" s="6" t="n"/>
      <c r="H15" s="6" t="n"/>
      <c r="I15" s="6" t="inlineStr">
        <is>
          <t>Not in lists</t>
        </is>
      </c>
      <c r="J15" s="15" t="inlineStr">
        <is>
          <t>Verified - current role</t>
        </is>
      </c>
      <c r="K15" s="6" t="inlineStr">
        <is>
          <t>Leads editorial for Entrepreneur India, restaurantindia.in, indianretailer.com</t>
        </is>
      </c>
      <c r="L15" s="16" t="inlineStr">
        <is>
          <t>https://www.franchiseindia.com/insights/en/news/indian-restaurant-congress-goes-global-with-first-international-edition-in-london.58927</t>
        </is>
      </c>
      <c r="M15" s="6" t="inlineStr">
        <is>
          <t>Fit: Mast Banarasi Paan founder profile, franchise-led growth.</t>
        </is>
      </c>
      <c r="N15" s="21" t="inlineStr">
        <is>
          <t>OUTLET runs brand listicles</t>
        </is>
      </c>
      <c r="O15" s="6" t="inlineStr">
        <is>
          <t>Restaurant India and Indian Retailer run 'Top 10 / Top 8' brand lists (gin, mahua incl. Six Brothers, whisky, rum); pitch via editor</t>
        </is>
      </c>
    </row>
    <row r="16">
      <c r="A16" s="6" t="n">
        <v>12</v>
      </c>
      <c r="B16" s="6" t="inlineStr">
        <is>
          <t>Himanshi Kaushik</t>
        </is>
      </c>
      <c r="C16" s="6" t="inlineStr">
        <is>
          <t>News Writer</t>
        </is>
      </c>
      <c r="D16" s="6" t="inlineStr">
        <is>
          <t>FranchiseTV / Indian Retailer</t>
        </is>
      </c>
      <c r="E16" s="6" t="inlineStr">
        <is>
          <t>F&amp;B and franchise brands</t>
        </is>
      </c>
      <c r="F16" s="6" t="inlineStr">
        <is>
          <t>New Delhi</t>
        </is>
      </c>
      <c r="G16" s="6" t="n"/>
      <c r="H16" s="6" t="n"/>
      <c r="I16" s="6" t="inlineStr">
        <is>
          <t>Not in lists</t>
        </is>
      </c>
      <c r="J16" s="17" t="inlineStr">
        <is>
          <t>Verified - active 2026</t>
        </is>
      </c>
      <c r="K16" s="6" t="inlineStr">
        <is>
          <t>2026 bylines on food franchise trends (FranchiseTV)</t>
        </is>
      </c>
      <c r="L16" s="16" t="inlineStr">
        <is>
          <t>https://indianretailer.com/franchisetv/author/himanshi-kaushik</t>
        </is>
      </c>
      <c r="M16" s="6" t="inlineStr">
        <is>
          <t>Fit: Mast Banarasi Paan (outlet already covered its 600-store plan).</t>
        </is>
      </c>
      <c r="N16" s="21" t="inlineStr">
        <is>
          <t>OUTLET runs brand listicles</t>
        </is>
      </c>
      <c r="O16" s="6" t="inlineStr">
        <is>
          <t>Indian Retailer (her outlet) runs 'Top Mahua Brands' and 'Top 8 Indian Gin Brands' lists; author not credited</t>
        </is>
      </c>
    </row>
    <row r="17">
      <c r="A17" s="6" t="n">
        <v>13</v>
      </c>
      <c r="B17" s="6" t="inlineStr">
        <is>
          <t>Ruchika Jha</t>
        </is>
      </c>
      <c r="C17" s="6" t="inlineStr">
        <is>
          <t>Copy Editor</t>
        </is>
      </c>
      <c r="D17" s="6" t="inlineStr">
        <is>
          <t>Images Business of Food</t>
        </is>
      </c>
      <c r="E17" s="6" t="inlineStr">
        <is>
          <t>Food business, foodservice, HoReCa</t>
        </is>
      </c>
      <c r="F17" s="6" t="inlineStr">
        <is>
          <t>New Delhi</t>
        </is>
      </c>
      <c r="G17" s="6" t="n"/>
      <c r="H17" s="6" t="n"/>
      <c r="I17" s="6" t="inlineStr">
        <is>
          <t>Not in lists</t>
        </is>
      </c>
      <c r="J17" s="15" t="inlineStr">
        <is>
          <t>Verified - current role</t>
        </is>
      </c>
      <c r="K17" s="6" t="inlineStr">
        <is>
          <t>Named Copy Editor; outlet covered Mast Banarasi Paan's 400-outlet milestone in 2026</t>
        </is>
      </c>
      <c r="L17" s="16" t="inlineStr">
        <is>
          <t>https://www.businessoffood.in/mast-banarasi-paan-charts-aggressive-growth-crossing-400-outlets-explores-fresh-capital/</t>
        </is>
      </c>
      <c r="M17" s="6" t="inlineStr">
        <is>
          <t>Fit: Mast Banarasi Paan follow-ups (premium gold/silver paan angle).</t>
        </is>
      </c>
      <c r="N17" s="6" t="inlineStr">
        <is>
          <t>No evidence found</t>
        </is>
      </c>
      <c r="O17" s="6" t="n"/>
    </row>
    <row r="18">
      <c r="A18" s="6" t="n">
        <v>14</v>
      </c>
      <c r="B18" s="6" t="inlineStr">
        <is>
          <t>Rajlakshmi Dastidar</t>
        </is>
      </c>
      <c r="C18" s="6" t="inlineStr">
        <is>
          <t>Writer</t>
        </is>
      </c>
      <c r="D18" s="6" t="inlineStr">
        <is>
          <t>Slurrp (HT Media)</t>
        </is>
      </c>
      <c r="E18" s="6" t="inlineStr">
        <is>
          <t>Whisky, spirits, food culture</t>
        </is>
      </c>
      <c r="F18" s="6" t="inlineStr">
        <is>
          <t>Kolkata/Delhi (to confirm)</t>
        </is>
      </c>
      <c r="G18" s="6" t="n"/>
      <c r="H18" s="6" t="n"/>
      <c r="I18" s="6" t="inlineStr">
        <is>
          <t>Not in lists</t>
        </is>
      </c>
      <c r="J18" s="17" t="inlineStr">
        <is>
          <t>Verified - active 2026</t>
        </is>
      </c>
      <c r="K18" s="6" t="inlineStr">
        <is>
          <t>Byline: 'International Whisky Day 2026: India's New Wave Whisky Culture' (27 Mar 2026)</t>
        </is>
      </c>
      <c r="L18" s="16" t="inlineStr">
        <is>
          <t>https://www.slurrp.com/article/international-whisky-day-2026-experts-on-the-new-whisky-culture-in-india-1774577006830</t>
        </is>
      </c>
      <c r="M18" s="6" t="inlineStr">
        <is>
          <t>Fit: DeVANS GianChand single malt; Six Brothers.</t>
        </is>
      </c>
      <c r="N18" s="22" t="inlineStr">
        <is>
          <t>LIKELY - brand roundups</t>
        </is>
      </c>
      <c r="O18" s="6" t="inlineStr">
        <is>
          <t>'International Whisky Day 2026' expert round-up naming brands</t>
        </is>
      </c>
    </row>
    <row r="19">
      <c r="A19" s="6" t="n">
        <v>15</v>
      </c>
      <c r="B19" s="6" t="inlineStr">
        <is>
          <t>Shireen Jamooji</t>
        </is>
      </c>
      <c r="C19" s="6" t="inlineStr">
        <is>
          <t>Writer</t>
        </is>
      </c>
      <c r="D19" s="6" t="inlineStr">
        <is>
          <t>Slurrp (HT Media)</t>
        </is>
      </c>
      <c r="E19" s="6" t="inlineStr">
        <is>
          <t>Spirits and cocktails</t>
        </is>
      </c>
      <c r="F19" s="6" t="n"/>
      <c r="G19" s="6" t="n"/>
      <c r="H19" s="6" t="n"/>
      <c r="I19" s="6" t="inlineStr">
        <is>
          <t>Not in lists</t>
        </is>
      </c>
      <c r="J19" s="17" t="inlineStr">
        <is>
          <t>Verified - active 2026</t>
        </is>
      </c>
      <c r="K19" s="6" t="inlineStr">
        <is>
          <t>Byline: 'World Whisky Day 2026: Whisky Cocktails &amp; Mango Moments' (16 May 2026)</t>
        </is>
      </c>
      <c r="L19" s="16" t="inlineStr">
        <is>
          <t>https://www.slurrp.com/article/world-whisky-day-2026-whisky-cocktails-amp-mango-moments-when-the-king-of-fruits-meets-the-king-of-spirits-1778850851459</t>
        </is>
      </c>
      <c r="M19" s="6" t="inlineStr">
        <is>
          <t>Fit: DeVANS, Six Brothers.</t>
        </is>
      </c>
      <c r="N19" s="22" t="inlineStr">
        <is>
          <t>LIKELY - brand roundups</t>
        </is>
      </c>
      <c r="O19" s="6" t="inlineStr">
        <is>
          <t>'World Whisky Day 2026: Whisky Cocktails &amp; Mango Moments' (brand and cocktail picks)</t>
        </is>
      </c>
    </row>
    <row r="20">
      <c r="A20" s="6" t="n">
        <v>16</v>
      </c>
      <c r="B20" s="6" t="inlineStr">
        <is>
          <t>Parag A Shastry</t>
        </is>
      </c>
      <c r="C20" s="6" t="inlineStr">
        <is>
          <t>Contributor</t>
        </is>
      </c>
      <c r="D20" s="6" t="inlineStr">
        <is>
          <t>Slurrp (HT Media)</t>
        </is>
      </c>
      <c r="E20" s="6" t="inlineStr">
        <is>
          <t>Cocktails, bar culture, local ingredients</t>
        </is>
      </c>
      <c r="F20" s="6" t="n"/>
      <c r="G20" s="6" t="n"/>
      <c r="H20" s="6" t="n"/>
      <c r="I20" s="6" t="inlineStr">
        <is>
          <t>Not in lists</t>
        </is>
      </c>
      <c r="J20" s="17" t="inlineStr">
        <is>
          <t>Verified - active 2026</t>
        </is>
      </c>
      <c r="K20" s="6" t="inlineStr">
        <is>
          <t>Byline: 'The Mindful Pour: Inside India's New Cocktail Consciousness' (6 May 2026)</t>
        </is>
      </c>
      <c r="L20" s="16" t="inlineStr">
        <is>
          <t>https://www.slurrp.com/article/the-mindful-pour-inside-indias-new-cocktail-consciousness-1778067928872</t>
        </is>
      </c>
      <c r="M20" s="6" t="inlineStr">
        <is>
          <t>Fit: Six Brothers (local-ingredient, heritage spirit).</t>
        </is>
      </c>
      <c r="N20" s="6" t="inlineStr">
        <is>
          <t>No evidence found</t>
        </is>
      </c>
      <c r="O20" s="6" t="n"/>
    </row>
    <row r="21">
      <c r="A21" s="6" t="n">
        <v>17</v>
      </c>
      <c r="B21" s="6" t="inlineStr">
        <is>
          <t>Nikhil Merchant</t>
        </is>
      </c>
      <c r="C21" s="6" t="inlineStr">
        <is>
          <t>Freelance food, spirits and luxury writer</t>
        </is>
      </c>
      <c r="D21" s="6" t="inlineStr">
        <is>
          <t>Slurrp, Condé Nast Traveller, Financial Express, The Nod Mag</t>
        </is>
      </c>
      <c r="E21" s="6" t="inlineStr">
        <is>
          <t>Spirits, F&amp;B, hospitality, luxury</t>
        </is>
      </c>
      <c r="F21" s="6" t="inlineStr">
        <is>
          <t>Mumbai</t>
        </is>
      </c>
      <c r="G21" s="6" t="n"/>
      <c r="H21" s="6" t="n"/>
      <c r="I21" s="6" t="inlineStr">
        <is>
          <t>Not in lists</t>
        </is>
      </c>
      <c r="J21" s="17" t="inlineStr">
        <is>
          <t>Verified - active 2026</t>
        </is>
      </c>
      <c r="K21" s="6" t="inlineStr">
        <is>
          <t>Byline: 'India's Gin Renaissance Enters Its Second Act' (Slurrp, 30 Sep 2026); 'The New Spirit of Asia' (Aug 2026)</t>
        </is>
      </c>
      <c r="L21" s="16" t="inlineStr">
        <is>
          <t>https://www.slurrp.com/article/indias-gin-renaissance-enters-its-second-act-1790770816838</t>
        </is>
      </c>
      <c r="M21" s="6" t="inlineStr">
        <is>
          <t>Strong fit: Six Brothers (Indian craft spirits going global), DeVANS gin.</t>
        </is>
      </c>
      <c r="N21" s="6" t="inlineStr">
        <is>
          <t>No evidence found</t>
        </is>
      </c>
      <c r="O21" s="6" t="n"/>
    </row>
    <row r="22">
      <c r="A22" s="6" t="n">
        <v>18</v>
      </c>
      <c r="B22" s="6" t="inlineStr">
        <is>
          <t>Anindita Ghosh</t>
        </is>
      </c>
      <c r="C22" s="6" t="inlineStr">
        <is>
          <t>Editor</t>
        </is>
      </c>
      <c r="D22" s="6" t="inlineStr">
        <is>
          <t>OT Eats (Outlook Traveller)</t>
        </is>
      </c>
      <c r="E22" s="6" t="inlineStr">
        <is>
          <t>Food and drink</t>
        </is>
      </c>
      <c r="F22" s="6" t="inlineStr">
        <is>
          <t>New Delhi</t>
        </is>
      </c>
      <c r="G22" s="6" t="n"/>
      <c r="H22" s="6" t="n"/>
      <c r="I22" s="6" t="inlineStr">
        <is>
          <t>Not in lists</t>
        </is>
      </c>
      <c r="J22" s="15" t="inlineStr">
        <is>
          <t>Verified - current role</t>
        </is>
      </c>
      <c r="K22" s="6" t="inlineStr">
        <is>
          <t>Named OT Eats Editor; outlet published a mahua heritage-spirits guide</t>
        </is>
      </c>
      <c r="L22" s="16" t="inlineStr">
        <is>
          <t>https://oteats.outlooktraveller.com/about-us</t>
        </is>
      </c>
      <c r="M22" s="6" t="inlineStr">
        <is>
          <t>Fit: Six Brothers (OT Eats already covers mahua).</t>
        </is>
      </c>
      <c r="N22" s="21" t="inlineStr">
        <is>
          <t>OUTLET runs brand listicles</t>
        </is>
      </c>
      <c r="O22" s="6" t="inlineStr">
        <is>
          <t>OT Eats / OT Pours publish 'best brands' lists (mahua, homegrown gins, Indian rums); pitch via editor</t>
        </is>
      </c>
    </row>
    <row r="23">
      <c r="A23" s="6" t="n">
        <v>19</v>
      </c>
      <c r="B23" s="19" t="inlineStr">
        <is>
          <t>Abhya Adlakha</t>
        </is>
      </c>
      <c r="C23" s="6" t="inlineStr">
        <is>
          <t>Writer</t>
        </is>
      </c>
      <c r="D23" s="6" t="inlineStr">
        <is>
          <t>Esquire India</t>
        </is>
      </c>
      <c r="E23" s="6" t="inlineStr">
        <is>
          <t>Food and drinks, restaurants and bars</t>
        </is>
      </c>
      <c r="F23" s="6" t="n"/>
      <c r="G23" s="6" t="n"/>
      <c r="H23" s="6" t="n"/>
      <c r="I23" s="6" t="inlineStr">
        <is>
          <t>Not in lists</t>
        </is>
      </c>
      <c r="J23" s="17" t="inlineStr">
        <is>
          <t>Verified - active 2026</t>
        </is>
      </c>
      <c r="K23" s="6" t="inlineStr">
        <is>
          <t>Byline: 'The Best New Restaurants and Bars in India in 2026 (So Far)' (22 Apr 2026)</t>
        </is>
      </c>
      <c r="L23" s="16" t="inlineStr">
        <is>
          <t>https://www.esquireindia.co.in/food-and-drinks/what-to-eat/the-best-new-restaurants-and-bars-in-india-in-2026-so-far</t>
        </is>
      </c>
      <c r="M23" s="6" t="inlineStr">
        <is>
          <t>Fit: DeVANS, Six Brothers (bar listings and launches).</t>
        </is>
      </c>
      <c r="N23" s="20" t="inlineStr">
        <is>
          <t>YES - brand listicles</t>
        </is>
      </c>
      <c r="O23" s="6" t="inlineStr">
        <is>
          <t>'Best Homegrown Rums to Try in 2026' (Esquire India); also monthly bar/restaurant Hotlists</t>
        </is>
      </c>
    </row>
    <row r="24">
      <c r="A24" s="6" t="n">
        <v>20</v>
      </c>
      <c r="B24" s="6" t="inlineStr">
        <is>
          <t>Geetika Sachdev</t>
        </is>
      </c>
      <c r="C24" s="6" t="inlineStr">
        <is>
          <t>Contributor</t>
        </is>
      </c>
      <c r="D24" s="6" t="inlineStr">
        <is>
          <t>The Nod Mag</t>
        </is>
      </c>
      <c r="E24" s="6" t="inlineStr">
        <is>
          <t>Delhi NCR restaurants, bars, menus</t>
        </is>
      </c>
      <c r="F24" s="6" t="inlineStr">
        <is>
          <t>Delhi NCR</t>
        </is>
      </c>
      <c r="G24" s="6" t="n"/>
      <c r="H24" s="6" t="n"/>
      <c r="I24" s="6" t="inlineStr">
        <is>
          <t>Not in lists</t>
        </is>
      </c>
      <c r="J24" s="17" t="inlineStr">
        <is>
          <t>Verified - active 2026</t>
        </is>
      </c>
      <c r="K24" s="6" t="inlineStr">
        <is>
          <t>Monthly Delhi restaurant and bar guides (Jun and Jul 2026)</t>
        </is>
      </c>
      <c r="L24" s="16" t="inlineStr">
        <is>
          <t>https://thenodmag.com/author/geetika-sachdev</t>
        </is>
      </c>
      <c r="M24" s="6" t="inlineStr">
        <is>
          <t>Fit: Mast Banarasi Paan (Delhi NCR outlets), Six Brothers bar placements.</t>
        </is>
      </c>
      <c r="N24" s="23" t="inlineStr">
        <is>
          <t>VENUE lists only</t>
        </is>
      </c>
      <c r="O24" s="6" t="inlineStr">
        <is>
          <t>Monthly Delhi bars/restaurants lists, not brand lists</t>
        </is>
      </c>
    </row>
    <row r="25">
      <c r="A25" s="6" t="n">
        <v>21</v>
      </c>
      <c r="B25" s="6" t="inlineStr">
        <is>
          <t>Poulomi Deb</t>
        </is>
      </c>
      <c r="C25" s="6" t="inlineStr">
        <is>
          <t>Senior Correspondent</t>
        </is>
      </c>
      <c r="D25" s="6" t="inlineStr">
        <is>
          <t>Time Out Delhi</t>
        </is>
      </c>
      <c r="E25" s="6" t="inlineStr">
        <is>
          <t>Delhi food, bars, culture</t>
        </is>
      </c>
      <c r="F25" s="6" t="inlineStr">
        <is>
          <t>New Delhi</t>
        </is>
      </c>
      <c r="G25" s="6" t="n"/>
      <c r="H25" s="6" t="n"/>
      <c r="I25" s="6" t="inlineStr">
        <is>
          <t>Not in lists</t>
        </is>
      </c>
      <c r="J25" s="17" t="inlineStr">
        <is>
          <t>Verified - active 2026</t>
        </is>
      </c>
      <c r="K25" s="6" t="inlineStr">
        <is>
          <t>Time Out profile; covered India Art Fair 2026 (Feb 2026)</t>
        </is>
      </c>
      <c r="L25" s="16" t="inlineStr">
        <is>
          <t>https://www.timeout.com/profile/poulomi-deb</t>
        </is>
      </c>
      <c r="M25" s="6" t="inlineStr">
        <is>
          <t>Fit: Delhi launches for all F&amp;B and alcobev brands; also art (Devyani).</t>
        </is>
      </c>
      <c r="N25" s="23" t="inlineStr">
        <is>
          <t>VENUE lists only</t>
        </is>
      </c>
      <c r="O25" s="6" t="inlineStr">
        <is>
          <t>Time Out 'best bars' lists</t>
        </is>
      </c>
    </row>
    <row r="26">
      <c r="A26" s="6" t="n">
        <v>22</v>
      </c>
      <c r="B26" s="6" t="inlineStr">
        <is>
          <t>Nayantara Singh</t>
        </is>
      </c>
      <c r="C26" s="6" t="inlineStr">
        <is>
          <t>Senior Editor</t>
        </is>
      </c>
      <c r="D26" s="6" t="inlineStr">
        <is>
          <t>Time Out India</t>
        </is>
      </c>
      <c r="E26" s="6" t="inlineStr">
        <is>
          <t>Food, drink, city culture</t>
        </is>
      </c>
      <c r="F26" s="6" t="n"/>
      <c r="G26" s="6" t="n"/>
      <c r="H26" s="6" t="n"/>
      <c r="I26" s="6" t="inlineStr">
        <is>
          <t>Not in lists</t>
        </is>
      </c>
      <c r="J26" s="15" t="inlineStr">
        <is>
          <t>Verified - current role</t>
        </is>
      </c>
      <c r="K26" s="6" t="inlineStr">
        <is>
          <t>Time Out profile lists her as Senior Editor, Time Out India</t>
        </is>
      </c>
      <c r="L26" s="16" t="inlineStr">
        <is>
          <t>https://www.timeout.com/profile/nayantara-singh</t>
        </is>
      </c>
      <c r="M26" s="6" t="inlineStr">
        <is>
          <t>Fit: 30 Best Bars India coverage; DeVANS, Six Brothers.</t>
        </is>
      </c>
      <c r="N26" s="23" t="inlineStr">
        <is>
          <t>VENUE lists only</t>
        </is>
      </c>
      <c r="O26" s="6" t="inlineStr">
        <is>
          <t>Time Out 'best bars' lists</t>
        </is>
      </c>
    </row>
    <row r="27">
      <c r="A27" s="6" t="n">
        <v>23</v>
      </c>
      <c r="B27" s="6" t="inlineStr">
        <is>
          <t>Anisha Khole</t>
        </is>
      </c>
      <c r="C27" s="6" t="inlineStr">
        <is>
          <t>Writer</t>
        </is>
      </c>
      <c r="D27" s="6" t="inlineStr">
        <is>
          <t>Local Samosa</t>
        </is>
      </c>
      <c r="E27" s="6" t="inlineStr">
        <is>
          <t>Brand stories, homegrown brands</t>
        </is>
      </c>
      <c r="F27" s="6" t="n"/>
      <c r="G27" s="6" t="n"/>
      <c r="H27" s="6" t="n"/>
      <c r="I27" s="6" t="inlineStr">
        <is>
          <t>Not in lists</t>
        </is>
      </c>
      <c r="J27" s="17" t="inlineStr">
        <is>
          <t>Verified - active 2026</t>
        </is>
      </c>
      <c r="K27" s="6" t="inlineStr">
        <is>
          <t>Byline: Mohulo gin (mahua flower) brand story (26 Mar 2026)</t>
        </is>
      </c>
      <c r="L27" s="16" t="inlineStr">
        <is>
          <t>https://www.localsamosa.com/business/mohulo-gin-brand-story-11226236</t>
        </is>
      </c>
      <c r="M27" s="6" t="inlineStr">
        <is>
          <t>Strong fit: Six Brothers mahua brand story.</t>
        </is>
      </c>
      <c r="N27" s="6" t="inlineStr">
        <is>
          <t>No evidence found</t>
        </is>
      </c>
      <c r="O27" s="6" t="n"/>
    </row>
    <row r="28">
      <c r="A28" s="6" t="n">
        <v>24</v>
      </c>
      <c r="B28" s="6" t="inlineStr">
        <is>
          <t>Vir Sanghvi</t>
        </is>
      </c>
      <c r="C28" s="6" t="inlineStr">
        <is>
          <t>Columnist (Rude Food)</t>
        </is>
      </c>
      <c r="D28" s="6" t="inlineStr">
        <is>
          <t>Hindustan Times / HT Brunch</t>
        </is>
      </c>
      <c r="E28" s="6" t="inlineStr">
        <is>
          <t>Food and drink</t>
        </is>
      </c>
      <c r="F28" s="6" t="inlineStr">
        <is>
          <t>New Delhi</t>
        </is>
      </c>
      <c r="G28" s="6" t="n"/>
      <c r="H28" s="6" t="n"/>
      <c r="I28" s="6" t="inlineStr">
        <is>
          <t>Not in lists</t>
        </is>
      </c>
      <c r="J28" s="17" t="inlineStr">
        <is>
          <t>Verified - active 2026</t>
        </is>
      </c>
      <c r="K28" s="6" t="inlineStr">
        <is>
          <t>Rude Food column, e.g. 'Why the avocado is like butter, but better' (11 Sep 2026)</t>
        </is>
      </c>
      <c r="L28" s="16" t="inlineStr">
        <is>
          <t>https://muckrack.com/vir-sanghvi/articles</t>
        </is>
      </c>
      <c r="M28" s="6" t="inlineStr">
        <is>
          <t>Top-tier food voice. Fit: Six Brothers heritage story; Mast Banarasi Paan (paan as dessert).</t>
        </is>
      </c>
      <c r="N28" s="6" t="inlineStr">
        <is>
          <t>No evidence found</t>
        </is>
      </c>
      <c r="O28" s="6" t="n"/>
    </row>
    <row r="29">
      <c r="A29" s="6" t="n">
        <v>25</v>
      </c>
      <c r="B29" s="6" t="inlineStr">
        <is>
          <t>Sourish Bhattacharyya</t>
        </is>
      </c>
      <c r="C29" s="6" t="inlineStr">
        <is>
          <t>Food columnist and restaurant critic (freelance)</t>
        </is>
      </c>
      <c r="D29" s="6" t="inlineStr">
        <is>
          <t>Freelance; co-founder, Delhi Gourmet Club</t>
        </is>
      </c>
      <c r="E29" s="6" t="inlineStr">
        <is>
          <t>Indian food culture, heritage food and drink</t>
        </is>
      </c>
      <c r="F29" s="6" t="inlineStr">
        <is>
          <t>New Delhi</t>
        </is>
      </c>
      <c r="G29" s="6" t="n"/>
      <c r="H29" s="6" t="n"/>
      <c r="I29" s="6" t="inlineStr">
        <is>
          <t>Not in lists</t>
        </is>
      </c>
      <c r="J29" s="17" t="inlineStr">
        <is>
          <t>Verified - active 2026</t>
        </is>
      </c>
      <c r="K29" s="6" t="inlineStr">
        <is>
          <t>Moderated Food and Tourism panel at Delhi Food Awards 2026; Godrej Food Trends Report 2026 launch</t>
        </is>
      </c>
      <c r="L29" s="16" t="inlineStr">
        <is>
          <t>https://www.outlooktraveller.com/News/delhi-food-awards-2026-celebrates-culinary-heritage-community-and-the-future-of-food-in-the-capital</t>
        </is>
      </c>
      <c r="M29" s="6" t="inlineStr">
        <is>
          <t>Fit: Mast Banarasi Paan (Banarasi paan heritage), Six Brothers.</t>
        </is>
      </c>
      <c r="N29" s="6" t="inlineStr">
        <is>
          <t>No evidence found</t>
        </is>
      </c>
      <c r="O29" s="6" t="n"/>
    </row>
    <row r="30">
      <c r="A30" s="6" t="n">
        <v>26</v>
      </c>
      <c r="B30" s="6" t="inlineStr">
        <is>
          <t>Magandeep Singh</t>
        </is>
      </c>
      <c r="C30" s="6" t="inlineStr">
        <is>
          <t>Columnist ('Between sips'); sommelier</t>
        </is>
      </c>
      <c r="D30" s="6" t="inlineStr">
        <is>
          <t>The Hindu (columnist); multiple titles</t>
        </is>
      </c>
      <c r="E30" s="6" t="inlineStr">
        <is>
          <t>Wine and spirits</t>
        </is>
      </c>
      <c r="F30" s="6" t="inlineStr">
        <is>
          <t>New Delhi</t>
        </is>
      </c>
      <c r="G30" s="6" t="n"/>
      <c r="H30" s="6" t="n"/>
      <c r="I30" s="6" t="inlineStr">
        <is>
          <t>Not in lists</t>
        </is>
      </c>
      <c r="J30" s="17" t="inlineStr">
        <is>
          <t>Verified - active 2026</t>
        </is>
      </c>
      <c r="K30" s="6" t="inlineStr">
        <is>
          <t>Column 'Between sips: New red on the block' in The Hindu (29 Jan 2026)</t>
        </is>
      </c>
      <c r="L30" s="16" t="inlineStr">
        <is>
          <t>https://muckrack.com/magandeep-singh/articles</t>
        </is>
      </c>
      <c r="M30" s="6" t="inlineStr">
        <is>
          <t>Fit: DeVANS, Six Brothers (spirits critique and tasting).</t>
        </is>
      </c>
      <c r="N30" s="6" t="inlineStr">
        <is>
          <t>No evidence found</t>
        </is>
      </c>
      <c r="O30" s="6" t="n"/>
    </row>
    <row r="31">
      <c r="A31" s="6" t="n">
        <v>27</v>
      </c>
      <c r="B31" s="6" t="inlineStr">
        <is>
          <t>Rupali Dean</t>
        </is>
      </c>
      <c r="C31" s="6" t="inlineStr">
        <is>
          <t>Freelance food and travel writer</t>
        </is>
      </c>
      <c r="D31" s="6" t="inlineStr">
        <is>
          <t>Sunday Guardian, Elle Gourmet, Robb Report India</t>
        </is>
      </c>
      <c r="E31" s="6" t="inlineStr">
        <is>
          <t>Food, restaurants, travel</t>
        </is>
      </c>
      <c r="F31" s="6" t="inlineStr">
        <is>
          <t>New Delhi</t>
        </is>
      </c>
      <c r="G31" s="6" t="n"/>
      <c r="H31" s="6" t="n"/>
      <c r="I31" s="6" t="inlineStr">
        <is>
          <t>Not in lists</t>
        </is>
      </c>
      <c r="J31" s="17" t="inlineStr">
        <is>
          <t>Verified - active 2026</t>
        </is>
      </c>
      <c r="K31" s="6" t="inlineStr">
        <is>
          <t>Byline in Sunday Guardian (4 Oct 2026)</t>
        </is>
      </c>
      <c r="L31" s="16" t="inlineStr">
        <is>
          <t>https://sundayguardianlive.com/feature/cinnamon-life-at-sri-lankas-city-of-dreams-a-fairytale-written-for-two-298239</t>
        </is>
      </c>
      <c r="M31" s="6" t="inlineStr">
        <is>
          <t>Fit: Mast Banarasi Paan premium paan; Six Brothers.</t>
        </is>
      </c>
      <c r="N31" s="6" t="inlineStr">
        <is>
          <t>No evidence found</t>
        </is>
      </c>
      <c r="O31" s="6" t="n"/>
    </row>
    <row r="32">
      <c r="A32" s="6" t="n">
        <v>28</v>
      </c>
      <c r="B32" s="6" t="inlineStr">
        <is>
          <t>Aasheesh Sharma</t>
        </is>
      </c>
      <c r="C32" s="6" t="inlineStr">
        <is>
          <t>Digital Editor</t>
        </is>
      </c>
      <c r="D32" s="6" t="inlineStr">
        <is>
          <t>Outlook</t>
        </is>
      </c>
      <c r="E32" s="6" t="inlineStr">
        <is>
          <t>Food and lifestyle</t>
        </is>
      </c>
      <c r="F32" s="6" t="inlineStr">
        <is>
          <t>New Delhi</t>
        </is>
      </c>
      <c r="G32" s="6" t="inlineStr">
        <is>
          <t>9811736051</t>
        </is>
      </c>
      <c r="H32" s="6" t="n"/>
      <c r="I32" s="6" t="inlineStr">
        <is>
          <t>Sports Media List PDF (phone only; HT email outdated)</t>
        </is>
      </c>
      <c r="J32" s="24" t="inlineStr">
        <is>
          <t>Moved - updated</t>
        </is>
      </c>
      <c r="K32" s="6" t="inlineStr">
        <is>
          <t>LinkedIn shows Digital Editor, Outlook; previously HT Brunch (your list still has him at HT)</t>
        </is>
      </c>
      <c r="L32" s="16" t="inlineStr">
        <is>
          <t>https://www.linkedin.com/in/aasheesh-sharma/</t>
        </is>
      </c>
      <c r="M32" s="6" t="inlineStr">
        <is>
          <t>Do not use aasheesh.sharma@hindustantimes.com. Mobile is from the old list; confirm.</t>
        </is>
      </c>
      <c r="N32" s="6" t="inlineStr">
        <is>
          <t>No evidence found</t>
        </is>
      </c>
      <c r="O32" s="6" t="n"/>
    </row>
    <row r="33">
      <c r="A33" s="6" t="n">
        <v>29</v>
      </c>
      <c r="B33" s="6" t="inlineStr">
        <is>
          <t>Meher Mirza</t>
        </is>
      </c>
      <c r="C33" s="6" t="inlineStr">
        <is>
          <t>Food columnist</t>
        </is>
      </c>
      <c r="D33" s="6" t="inlineStr">
        <is>
          <t>NDTV Food (freelance)</t>
        </is>
      </c>
      <c r="E33" s="6" t="inlineStr">
        <is>
          <t>Food writing</t>
        </is>
      </c>
      <c r="F33" s="6" t="inlineStr">
        <is>
          <t>Mumbai</t>
        </is>
      </c>
      <c r="G33" s="6" t="n"/>
      <c r="H33" s="6" t="n"/>
      <c r="I33" s="6" t="inlineStr">
        <is>
          <t>Not in lists</t>
        </is>
      </c>
      <c r="J33" s="18" t="inlineStr">
        <is>
          <t>To confirm</t>
        </is>
      </c>
      <c r="K33" s="6" t="inlineStr">
        <is>
          <t>Author profile lists her as NDTV food columnist; no 2026 byline found</t>
        </is>
      </c>
      <c r="L33" s="16" t="inlineStr">
        <is>
          <t>https://www.lonelyplanet.com/authors/meher-mirza</t>
        </is>
      </c>
      <c r="M33" s="6" t="inlineStr">
        <is>
          <t>Confirm she is still writing before pitching.</t>
        </is>
      </c>
      <c r="N33" s="6" t="inlineStr">
        <is>
          <t>No evidence found</t>
        </is>
      </c>
      <c r="O33" s="6" t="n"/>
    </row>
    <row r="34">
      <c r="A34" s="6" t="n">
        <v>30</v>
      </c>
      <c r="B34" s="6" t="inlineStr">
        <is>
          <t>Ratna Bhushan</t>
        </is>
      </c>
      <c r="C34" s="6" t="inlineStr">
        <is>
          <t>Journalist (hospitality, retail, e-commerce)</t>
        </is>
      </c>
      <c r="D34" s="6" t="inlineStr">
        <is>
          <t>The Economic Times</t>
        </is>
      </c>
      <c r="E34" s="6" t="inlineStr">
        <is>
          <t>QSR and cafe chains, hospitality, consumer</t>
        </is>
      </c>
      <c r="F34" s="6" t="inlineStr">
        <is>
          <t>New Delhi</t>
        </is>
      </c>
      <c r="G34" s="6" t="n"/>
      <c r="H34" s="6" t="n"/>
      <c r="I34" s="6" t="inlineStr">
        <is>
          <t>New research: contact to source</t>
        </is>
      </c>
      <c r="J34" s="15" t="inlineStr">
        <is>
          <t>Verified - current role</t>
        </is>
      </c>
      <c r="K34" s="6" t="inlineStr">
        <is>
          <t>Muck Rack: ET journalist covering hospitality and retail, writes on QSR and cafe chains</t>
        </is>
      </c>
      <c r="L34" s="16" t="inlineStr">
        <is>
          <t>https://muckrack.com/ratna-bhushan/articles</t>
        </is>
      </c>
      <c r="M34" s="6" t="inlineStr">
        <is>
          <t>Fit: Mast Banarasi Paan (franchise expansion, fundraise).</t>
        </is>
      </c>
      <c r="N34" s="6" t="inlineStr">
        <is>
          <t>No evidence found</t>
        </is>
      </c>
      <c r="O34" s="6" t="n"/>
    </row>
    <row r="35">
      <c r="A35" s="6" t="n">
        <v>31</v>
      </c>
      <c r="B35" s="6" t="inlineStr">
        <is>
          <t>Smita Balram</t>
        </is>
      </c>
      <c r="C35" s="6" t="inlineStr">
        <is>
          <t>Journalist (liquor and spirits)</t>
        </is>
      </c>
      <c r="D35" s="6" t="inlineStr">
        <is>
          <t>The Economic Times (BrandEquity, ETRetail)</t>
        </is>
      </c>
      <c r="E35" s="6" t="inlineStr">
        <is>
          <t>Alcobev companies: AB InBev, Diageo, United Spirits</t>
        </is>
      </c>
      <c r="F35" s="6" t="n"/>
      <c r="G35" s="6" t="n"/>
      <c r="H35" s="6" t="n"/>
      <c r="I35" s="6" t="inlineStr">
        <is>
          <t>New research: contact to source</t>
        </is>
      </c>
      <c r="J35" s="18" t="inlineStr">
        <is>
          <t>To confirm</t>
        </is>
      </c>
      <c r="K35" s="6" t="inlineStr">
        <is>
          <t>Muck Rack lists ET liquor and spirits coverage; no 2026 byline confirmed</t>
        </is>
      </c>
      <c r="L35" s="16" t="inlineStr">
        <is>
          <t>https://muckrack.com/smita-balram/articles</t>
        </is>
      </c>
      <c r="M35" s="6" t="inlineStr">
        <is>
          <t>Fit: DeVANS business and brand news. Confirm she is still on the beat.</t>
        </is>
      </c>
      <c r="N35" s="6" t="inlineStr">
        <is>
          <t>No evidence found</t>
        </is>
      </c>
      <c r="O35" s="6" t="n"/>
    </row>
    <row r="36">
      <c r="A36" s="6" t="n">
        <v>32</v>
      </c>
      <c r="B36" s="6" t="inlineStr">
        <is>
          <t>Devika Singh</t>
        </is>
      </c>
      <c r="C36" s="6" t="inlineStr">
        <is>
          <t>Freelance business journalist (ex-Moneycontrol, FE, Business Today)</t>
        </is>
      </c>
      <c r="D36" s="6" t="inlineStr">
        <is>
          <t>Freelance</t>
        </is>
      </c>
      <c r="E36" s="6" t="inlineStr">
        <is>
          <t>FMCG, consumer, liquor</t>
        </is>
      </c>
      <c r="F36" s="6" t="n"/>
      <c r="G36" s="6" t="n"/>
      <c r="H36" s="6" t="n"/>
      <c r="I36" s="6" t="inlineStr">
        <is>
          <t>New research: contact to source</t>
        </is>
      </c>
      <c r="J36" s="15" t="inlineStr">
        <is>
          <t>Verified - current role</t>
        </is>
      </c>
      <c r="K36" s="6" t="inlineStr">
        <is>
          <t>Muck Rack: wrote on AB InBev entering whisky in India; consumer and FMCG coverage</t>
        </is>
      </c>
      <c r="L36" s="16" t="inlineStr">
        <is>
          <t>https://muckrack.com/devika-singh-3/articles</t>
        </is>
      </c>
      <c r="M36" s="6" t="inlineStr">
        <is>
          <t>Fit: DeVANS, Six Brothers (business of spirits).</t>
        </is>
      </c>
      <c r="N36" s="6" t="inlineStr">
        <is>
          <t>No evidence found</t>
        </is>
      </c>
      <c r="O36" s="6" t="n"/>
    </row>
    <row r="37">
      <c r="A37" s="6" t="n">
        <v>33</v>
      </c>
      <c r="B37" s="19" t="inlineStr">
        <is>
          <t>Miona Madsen</t>
        </is>
      </c>
      <c r="C37" s="6" t="inlineStr">
        <is>
          <t>Writer</t>
        </is>
      </c>
      <c r="D37" s="6" t="inlineStr">
        <is>
          <t>The Spirits Business (UK)</t>
        </is>
      </c>
      <c r="E37" s="6" t="inlineStr">
        <is>
          <t>Global spirits incl. Indian whisky</t>
        </is>
      </c>
      <c r="F37" s="6" t="inlineStr">
        <is>
          <t>London</t>
        </is>
      </c>
      <c r="G37" s="6" t="n"/>
      <c r="H37" s="6" t="n"/>
      <c r="I37" s="6" t="inlineStr">
        <is>
          <t>New research: contact to source</t>
        </is>
      </c>
      <c r="J37" s="17" t="inlineStr">
        <is>
          <t>Verified - active 2026</t>
        </is>
      </c>
      <c r="K37" s="6" t="inlineStr">
        <is>
          <t>Byline: 'Top 10 biggest-selling Indian whisky Brand Champions' (12 Jun 2026)</t>
        </is>
      </c>
      <c r="L37" s="16" t="inlineStr">
        <is>
          <t>https://www.thespiritsbusiness.com/2026/06/top-10-biggest-selling-indian-whisky-brand-champions/</t>
        </is>
      </c>
      <c r="M37" s="6" t="inlineStr">
        <is>
          <t>International trade title. Fit: Six Brothers 'mahua going global like tequila' story.</t>
        </is>
      </c>
      <c r="N37" s="20" t="inlineStr">
        <is>
          <t>YES - brand listicles</t>
        </is>
      </c>
      <c r="O37" s="6" t="inlineStr">
        <is>
          <t>'Top 10 biggest-selling Indian whisky Brand Champions' (Jun 2026)</t>
        </is>
      </c>
    </row>
    <row r="38">
      <c r="A38" s="6" t="n">
        <v>34</v>
      </c>
      <c r="B38" s="6" t="inlineStr">
        <is>
          <t>Diya Kohli</t>
        </is>
      </c>
      <c r="C38" s="6" t="inlineStr">
        <is>
          <t>Director of Features and Special Projects</t>
        </is>
      </c>
      <c r="D38" s="6" t="inlineStr">
        <is>
          <t>Condé Nast Traveller India</t>
        </is>
      </c>
      <c r="E38" s="6" t="inlineStr">
        <is>
          <t>Food and dining, features</t>
        </is>
      </c>
      <c r="F38" s="6" t="inlineStr">
        <is>
          <t>New Delhi</t>
        </is>
      </c>
      <c r="G38" s="6" t="n"/>
      <c r="H38" s="6" t="n"/>
      <c r="I38" s="6" t="inlineStr">
        <is>
          <t>New research: contact to source</t>
        </is>
      </c>
      <c r="J38" s="18" t="inlineStr">
        <is>
          <t>To confirm</t>
        </is>
      </c>
      <c r="K38" s="6" t="inlineStr">
        <is>
          <t>Muck Rack lists role and food/dining beat; no 2026 byline confirmed</t>
        </is>
      </c>
      <c r="L38" s="16" t="inlineStr">
        <is>
          <t>https://muckrack.com/diya-kohli/articles</t>
        </is>
      </c>
      <c r="M38" s="6" t="inlineStr">
        <is>
          <t>Fit: Six Brothers (heritage spirit travel story), Mast Banarasi Paan.</t>
        </is>
      </c>
      <c r="N38" s="6" t="inlineStr">
        <is>
          <t>No evidence found</t>
        </is>
      </c>
      <c r="O38" s="6" t="n"/>
    </row>
    <row r="39">
      <c r="A39" s="6" t="n">
        <v>35</v>
      </c>
      <c r="B39" s="6" t="inlineStr">
        <is>
          <t>Karina Acharya</t>
        </is>
      </c>
      <c r="C39" s="6" t="inlineStr">
        <is>
          <t>Food writer</t>
        </is>
      </c>
      <c r="D39" s="6" t="inlineStr">
        <is>
          <t>Condé Nast Traveller India</t>
        </is>
      </c>
      <c r="E39" s="6" t="inlineStr">
        <is>
          <t>Restaurants, Delhi food scene</t>
        </is>
      </c>
      <c r="F39" s="6" t="inlineStr">
        <is>
          <t>New Delhi</t>
        </is>
      </c>
      <c r="G39" s="6" t="n"/>
      <c r="H39" s="6" t="n"/>
      <c r="I39" s="6" t="inlineStr">
        <is>
          <t>New research: contact to source</t>
        </is>
      </c>
      <c r="J39" s="18" t="inlineStr">
        <is>
          <t>To confirm</t>
        </is>
      </c>
      <c r="K39" s="6" t="inlineStr">
        <is>
          <t>Listed on CNT India's Muck Rack page as food writer covering new Delhi restaurants (2026)</t>
        </is>
      </c>
      <c r="L39" s="16" t="inlineStr">
        <is>
          <t>https://muckrack.com/media-outlet/cntraveller-india</t>
        </is>
      </c>
      <c r="M39" s="6" t="inlineStr">
        <is>
          <t>Fit: Mast Banarasi Paan Delhi NCR outlets.</t>
        </is>
      </c>
      <c r="N39" s="23" t="inlineStr">
        <is>
          <t>VENUE lists only</t>
        </is>
      </c>
      <c r="O39" s="6" t="inlineStr">
        <is>
          <t>New Delhi restaurant round-ups</t>
        </is>
      </c>
    </row>
    <row r="40">
      <c r="A40" s="6" t="n">
        <v>36</v>
      </c>
      <c r="B40" s="6" t="inlineStr">
        <is>
          <t>Ananya Desai</t>
        </is>
      </c>
      <c r="C40" s="6" t="inlineStr">
        <is>
          <t>Freelance writer</t>
        </is>
      </c>
      <c r="D40" s="6" t="inlineStr">
        <is>
          <t>Condé Nast Traveller India</t>
        </is>
      </c>
      <c r="E40" s="6" t="inlineStr">
        <is>
          <t>Food and beverage, travel</t>
        </is>
      </c>
      <c r="F40" s="6" t="n"/>
      <c r="G40" s="6" t="n"/>
      <c r="H40" s="6" t="n"/>
      <c r="I40" s="6" t="inlineStr">
        <is>
          <t>New research: contact to source</t>
        </is>
      </c>
      <c r="J40" s="18" t="inlineStr">
        <is>
          <t>To confirm</t>
        </is>
      </c>
      <c r="K40" s="6" t="inlineStr">
        <is>
          <t>Muck Rack lists F&amp;B coverage for CNT India</t>
        </is>
      </c>
      <c r="L40" s="16" t="inlineStr">
        <is>
          <t>https://muckrack.com/ananya-desai/articles</t>
        </is>
      </c>
      <c r="M40" s="6" t="inlineStr">
        <is>
          <t>Confirm before pitching.</t>
        </is>
      </c>
      <c r="N40" s="6" t="inlineStr">
        <is>
          <t>No evidence found</t>
        </is>
      </c>
      <c r="O40" s="6" t="n"/>
    </row>
    <row r="41">
      <c r="A41" s="6" t="n">
        <v>37</v>
      </c>
      <c r="B41" s="6" t="inlineStr">
        <is>
          <t>Pushpesh Pant</t>
        </is>
      </c>
      <c r="C41" s="6" t="inlineStr">
        <is>
          <t>Food columnist and historian</t>
        </is>
      </c>
      <c r="D41" s="6" t="inlineStr">
        <is>
          <t>Hindustan Times (columnist)</t>
        </is>
      </c>
      <c r="E41" s="6" t="inlineStr">
        <is>
          <t>Indian food history and culture</t>
        </is>
      </c>
      <c r="F41" s="6" t="inlineStr">
        <is>
          <t>New Delhi</t>
        </is>
      </c>
      <c r="G41" s="6" t="n"/>
      <c r="H41" s="6" t="n"/>
      <c r="I41" s="6" t="inlineStr">
        <is>
          <t>New research: contact to source</t>
        </is>
      </c>
      <c r="J41" s="15" t="inlineStr">
        <is>
          <t>Verified - current role</t>
        </is>
      </c>
      <c r="K41" s="6" t="inlineStr">
        <is>
          <t>Muck Rack lists HT food columns</t>
        </is>
      </c>
      <c r="L41" s="16" t="inlineStr">
        <is>
          <t>https://muckrack.com/pushpesh-pant/articles</t>
        </is>
      </c>
      <c r="M41" s="6" t="inlineStr">
        <is>
          <t>Strong fit: Mast Banarasi Paan (paan heritage), mahua history for Six Brothers.</t>
        </is>
      </c>
      <c r="N41" s="6" t="inlineStr">
        <is>
          <t>No evidence found</t>
        </is>
      </c>
      <c r="O41" s="6" t="n"/>
    </row>
    <row r="42">
      <c r="A42" s="6" t="n">
        <v>38</v>
      </c>
      <c r="B42" s="19" t="inlineStr">
        <is>
          <t>Mahak Sharma</t>
        </is>
      </c>
      <c r="C42" s="6" t="inlineStr">
        <is>
          <t>Writer</t>
        </is>
      </c>
      <c r="D42" s="6" t="inlineStr">
        <is>
          <t>Restaurant India (Franchise India Media)</t>
        </is>
      </c>
      <c r="E42" s="6" t="inlineStr">
        <is>
          <t>Beer, spirits, F&amp;B</t>
        </is>
      </c>
      <c r="F42" s="6" t="inlineStr">
        <is>
          <t>New Delhi</t>
        </is>
      </c>
      <c r="G42" s="6" t="n"/>
      <c r="H42" s="6" t="n"/>
      <c r="I42" s="6" t="inlineStr">
        <is>
          <t>New research: contact to source</t>
        </is>
      </c>
      <c r="J42" s="15" t="inlineStr">
        <is>
          <t>Verified - current role</t>
        </is>
      </c>
      <c r="K42" s="6" t="inlineStr">
        <is>
          <t>Byline: 'Top 10 Craft Beer Brands in India You Must Try' (30 Oct 2025)</t>
        </is>
      </c>
      <c r="L42" s="16" t="inlineStr">
        <is>
          <t>https://restaurantindia.in/article/tag/indian-beer</t>
        </is>
      </c>
      <c r="M42" s="6" t="inlineStr">
        <is>
          <t>Fit: DeVANS (Six Fields craft beers, Godfather).</t>
        </is>
      </c>
      <c r="N42" s="20" t="inlineStr">
        <is>
          <t>YES - brand listicles</t>
        </is>
      </c>
      <c r="O42" s="6" t="inlineStr">
        <is>
          <t>'Top 10 Craft Beer Brands in India You Must Try' (Oct 2025)</t>
        </is>
      </c>
    </row>
    <row r="43">
      <c r="A43" s="6" t="n">
        <v>39</v>
      </c>
      <c r="B43" s="19" t="inlineStr">
        <is>
          <t>Shreya Cheema</t>
        </is>
      </c>
      <c r="C43" s="6" t="inlineStr">
        <is>
          <t>Contributor</t>
        </is>
      </c>
      <c r="D43" s="6" t="inlineStr">
        <is>
          <t>OT Eats (Outlook Traveller)</t>
        </is>
      </c>
      <c r="E43" s="6" t="inlineStr">
        <is>
          <t>Spirits, food and drink guides</t>
        </is>
      </c>
      <c r="F43" s="6" t="n"/>
      <c r="G43" s="6" t="n"/>
      <c r="H43" s="6" t="n"/>
      <c r="I43" s="6" t="inlineStr">
        <is>
          <t>New research: contact to source</t>
        </is>
      </c>
      <c r="J43" s="15" t="inlineStr">
        <is>
          <t>Verified - current role</t>
        </is>
      </c>
      <c r="K43" s="6" t="inlineStr">
        <is>
          <t>Byline: 'Mahua: India's Heritage Spirit and Best Brands to Try' (15 Oct 2025)</t>
        </is>
      </c>
      <c r="L43" s="16" t="inlineStr">
        <is>
          <t>https://oteats.outlooktraveller.com/features/guides/top-mahua-spirits-in-india-the-return-of-indias-tribal-heritage-drink</t>
        </is>
      </c>
      <c r="M43" s="6" t="inlineStr">
        <is>
          <t>Strong fit: Six Brothers (already writes mahua brand roundups).</t>
        </is>
      </c>
      <c r="N43" s="20" t="inlineStr">
        <is>
          <t>YES - brand listicles</t>
        </is>
      </c>
      <c r="O43" s="6" t="inlineStr">
        <is>
          <t>'Mahua: India's Heritage Spirit and Best Brands to Try' (OT Eats, Oct 2025)</t>
        </is>
      </c>
    </row>
    <row r="44">
      <c r="A44" s="6" t="n">
        <v>40</v>
      </c>
      <c r="B44" s="19" t="inlineStr">
        <is>
          <t>Beth Squires</t>
        </is>
      </c>
      <c r="C44" s="6" t="inlineStr">
        <is>
          <t>Deputy Editor</t>
        </is>
      </c>
      <c r="D44" s="6" t="inlineStr">
        <is>
          <t>The Whiskey Wash (US)</t>
        </is>
      </c>
      <c r="E44" s="6" t="inlineStr">
        <is>
          <t>Whisky incl. Indian whisky awards and rankings</t>
        </is>
      </c>
      <c r="F44" s="6" t="n"/>
      <c r="G44" s="6" t="n"/>
      <c r="H44" s="6" t="n"/>
      <c r="I44" s="6" t="inlineStr">
        <is>
          <t>New research: contact to source</t>
        </is>
      </c>
      <c r="J44" s="17" t="inlineStr">
        <is>
          <t>Verified - active 2026</t>
        </is>
      </c>
      <c r="K44" s="6" t="inlineStr">
        <is>
          <t>2026 Indian whisky award round-ups (World Whiskies Awards, IWSC, London Spirits Competition)</t>
        </is>
      </c>
      <c r="L44" s="16" t="inlineStr">
        <is>
          <t>https://thewhiskeywash.com/whiskey-awards/the-best-indian-whiskies-according-to-the-world-whiskies-awards-2026/</t>
        </is>
      </c>
      <c r="M44" s="6" t="inlineStr">
        <is>
          <t>International. Fit: DeVANS GianChand single malt once it wins awards.</t>
        </is>
      </c>
      <c r="N44" s="20" t="inlineStr">
        <is>
          <t>YES - brand listicles</t>
        </is>
      </c>
      <c r="O44" s="6" t="inlineStr">
        <is>
          <t>Ranked Indian whisky lists from 2026 award results (WWA, IWSC, LSC)</t>
        </is>
      </c>
    </row>
    <row r="45">
      <c r="A45" s="6" t="n">
        <v>41</v>
      </c>
      <c r="B45" s="19" t="inlineStr">
        <is>
          <t>Amit Diwan</t>
        </is>
      </c>
      <c r="C45" s="6" t="inlineStr">
        <is>
          <t>Writer</t>
        </is>
      </c>
      <c r="D45" s="6" t="inlineStr">
        <is>
          <t>Esquire India</t>
        </is>
      </c>
      <c r="E45" s="6" t="inlineStr">
        <is>
          <t>Whisky and spirits buying guides</t>
        </is>
      </c>
      <c r="F45" s="6" t="n"/>
      <c r="G45" s="6" t="n"/>
      <c r="H45" s="6" t="n"/>
      <c r="I45" s="6" t="inlineStr">
        <is>
          <t>New research: contact to source</t>
        </is>
      </c>
      <c r="J45" s="17" t="inlineStr">
        <is>
          <t>Verified - active 2026</t>
        </is>
      </c>
      <c r="K45" s="6" t="inlineStr">
        <is>
          <t>Byline: '10 Best Whisky Brands in India Under Rs 10,000' (2026); Esquire runs a series of 'best whisky under Rs X' lists</t>
        </is>
      </c>
      <c r="L45" s="16" t="inlineStr">
        <is>
          <t>https://www.esquireindia.co.in/food-and-drinks/where-to-drink/10-best-whisky-brands-in-india-under-10000-macallan-12-glenfiddich-15-chivas-regal-18-ardbeg-10-glenmorangie-lasanta-why-popular</t>
        </is>
      </c>
      <c r="M45" s="6" t="inlineStr">
        <is>
          <t>Fit: DeVANS GianChand single malt and premium launches.</t>
        </is>
      </c>
      <c r="N45" s="20" t="inlineStr">
        <is>
          <t>YES - brand listicles</t>
        </is>
      </c>
      <c r="O45" s="6" t="inlineStr">
        <is>
          <t>'10 Best Whisky Brands in India Under Rs 10,000' and related price-band whisky lists (Esquire India, 2026)</t>
        </is>
      </c>
    </row>
    <row r="46">
      <c r="A46" s="6" t="n">
        <v>42</v>
      </c>
      <c r="B46" s="19" t="inlineStr">
        <is>
          <t>Arshita Suri</t>
        </is>
      </c>
      <c r="C46" s="6" t="inlineStr">
        <is>
          <t>Writer</t>
        </is>
      </c>
      <c r="D46" s="6" t="inlineStr">
        <is>
          <t>Esquire India</t>
        </is>
      </c>
      <c r="E46" s="6" t="inlineStr">
        <is>
          <t>Premium Indian spirits</t>
        </is>
      </c>
      <c r="F46" s="6" t="n"/>
      <c r="G46" s="6" t="n"/>
      <c r="H46" s="6" t="n"/>
      <c r="I46" s="6" t="inlineStr">
        <is>
          <t>New research: contact to source</t>
        </is>
      </c>
      <c r="J46" s="15" t="inlineStr">
        <is>
          <t>Verified - current role</t>
        </is>
      </c>
      <c r="K46" s="6" t="inlineStr">
        <is>
          <t>Byline: 'Beyond Whiskey: 5 Premium Indian Spirits Worth Stocking This Festive Season'</t>
        </is>
      </c>
      <c r="L46" s="16" t="inlineStr">
        <is>
          <t>https://www.esquireindia.co.in/food-and-drinks/where-to-drink/beyond-whiskey-5-premium-indian-spirits-worth-stocking-this-festive-season</t>
        </is>
      </c>
      <c r="M46" s="6" t="inlineStr">
        <is>
          <t>Fit: Six Brothers (premium Indian spirit), DeVANS gin.</t>
        </is>
      </c>
      <c r="N46" s="20" t="inlineStr">
        <is>
          <t>YES - brand listicles</t>
        </is>
      </c>
      <c r="O46" s="6" t="inlineStr">
        <is>
          <t>'Beyond Whiskey: 5 Premium Indian Spirits Worth Stocking This Festive Season'</t>
        </is>
      </c>
    </row>
    <row r="47">
      <c r="A47" s="6" t="n">
        <v>43</v>
      </c>
      <c r="B47" s="19" t="inlineStr">
        <is>
          <t>Rudra Mulmule</t>
        </is>
      </c>
      <c r="C47" s="6" t="inlineStr">
        <is>
          <t>Writer</t>
        </is>
      </c>
      <c r="D47" s="6" t="inlineStr">
        <is>
          <t>Esquire India</t>
        </is>
      </c>
      <c r="E47" s="6" t="inlineStr">
        <is>
          <t>Homegrown Indian spirits</t>
        </is>
      </c>
      <c r="F47" s="6" t="n"/>
      <c r="G47" s="6" t="n"/>
      <c r="H47" s="6" t="n"/>
      <c r="I47" s="6" t="inlineStr">
        <is>
          <t>New research: contact to source</t>
        </is>
      </c>
      <c r="J47" s="15" t="inlineStr">
        <is>
          <t>Verified - current role</t>
        </is>
      </c>
      <c r="K47" s="6" t="inlineStr">
        <is>
          <t>Byline: '5 Must-Try Homegrown Indian Spirits' (Indri, Ginsin, Jin Jiji, Kadamba, Kama Kaapi Rum)</t>
        </is>
      </c>
      <c r="L47" s="16" t="inlineStr">
        <is>
          <t>https://www.esquireindia.co.in/amp/story/food-and-drinks/where-to-drink/5-homegrown-indian-spirits</t>
        </is>
      </c>
      <c r="M47" s="6" t="inlineStr">
        <is>
          <t>Strong fit: Six Brothers mahua (homegrown spirits list).</t>
        </is>
      </c>
      <c r="N47" s="20" t="inlineStr">
        <is>
          <t>YES - brand listicles</t>
        </is>
      </c>
      <c r="O47" s="6" t="inlineStr">
        <is>
          <t>'5 Must-Try Homegrown Indian Spirits' (Esquire India)</t>
        </is>
      </c>
    </row>
    <row r="48">
      <c r="A48" s="6" t="n">
        <v>44</v>
      </c>
      <c r="B48" s="19" t="inlineStr">
        <is>
          <t>Hannah Thompson</t>
        </is>
      </c>
      <c r="C48" s="6" t="inlineStr">
        <is>
          <t>Whisky educator and writer</t>
        </is>
      </c>
      <c r="D48" s="6" t="inlineStr">
        <is>
          <t>The Whiskey Wash (US)</t>
        </is>
      </c>
      <c r="E48" s="6" t="inlineStr">
        <is>
          <t>Indian whisky and bar trends</t>
        </is>
      </c>
      <c r="F48" s="6" t="n"/>
      <c r="G48" s="6" t="n"/>
      <c r="H48" s="6" t="n"/>
      <c r="I48" s="6" t="inlineStr">
        <is>
          <t>New research: contact to source</t>
        </is>
      </c>
      <c r="J48" s="17" t="inlineStr">
        <is>
          <t>Verified - active 2026</t>
        </is>
      </c>
      <c r="K48" s="6" t="inlineStr">
        <is>
          <t>Byline: 'WIID 2026: India's Top Bar Brands &amp; Cocktails Revealed' (Sep 2026)</t>
        </is>
      </c>
      <c r="L48" s="16" t="inlineStr">
        <is>
          <t>https://thewhiskeywash.com/whiskey-news/wiid-2026-indias-top-bar-brands-cocktails-revealed/</t>
        </is>
      </c>
      <c r="M48" s="6" t="inlineStr">
        <is>
          <t>International. Fit: DeVANS, Six Brothers once in bar rankings.</t>
        </is>
      </c>
      <c r="N48" s="20" t="inlineStr">
        <is>
          <t>YES - brand listicles</t>
        </is>
      </c>
      <c r="O48" s="6" t="inlineStr">
        <is>
          <t>'WIID 2026: India's Top Bar Brands &amp; Cocktails Revealed' (brand rankings)</t>
        </is>
      </c>
    </row>
    <row r="49"/>
  </sheetData>
  <autoFilter ref="A4:O48"/>
  <dataValidations count="2">
    <dataValidation sqref="J5:J48" showDropDown="0" showInputMessage="0" showErrorMessage="0" allowBlank="1" type="list">
      <formula1>"Verified - active 2026,Verified - current role,To confirm,Moved - updated"</formula1>
    </dataValidation>
    <dataValidation sqref="N5:N48" showDropDown="0" showInputMessage="0" showErrorMessage="0" allowBlank="1" type="list">
      <formula1>"YES - brand listicles,LIKELY - brand roundups,OUTLET runs brand listicles,VENUE lists only,No evidence found"</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56" customWidth="1" min="3" max="3"/>
    <col width="18" customWidth="1" min="4" max="4"/>
    <col width="38" customWidth="1" min="5" max="5"/>
    <col width="40" customWidth="1" min="6" max="6"/>
    <col width="60" customWidth="1" min="7" max="7"/>
    <col width="24" customWidth="1" min="8" max="8"/>
  </cols>
  <sheetData>
    <row r="1">
      <c r="A1" s="1" t="inlineStr">
        <is>
          <t>Alcobev Listicles: Outlets to Verify</t>
        </is>
      </c>
    </row>
    <row r="2">
      <c r="A2" s="13" t="inlineStr">
        <is>
          <t>Brand listicles found online where the author byline was not visible. Open the link to read the byline, then add the writer to the Alcobev + F&amp;B tab.</t>
        </is>
      </c>
    </row>
    <row r="4">
      <c r="A4" s="14" t="inlineStr">
        <is>
          <t>S.No</t>
        </is>
      </c>
      <c r="B4" s="14" t="inlineStr">
        <is>
          <t>Outlet</t>
        </is>
      </c>
      <c r="C4" s="14" t="inlineStr">
        <is>
          <t>Article Title</t>
        </is>
      </c>
      <c r="D4" s="14" t="inlineStr">
        <is>
          <t>Date</t>
        </is>
      </c>
      <c r="E4" s="14" t="inlineStr">
        <is>
          <t>Brands Covered</t>
        </is>
      </c>
      <c r="F4" s="14" t="inlineStr">
        <is>
          <t>Author Status</t>
        </is>
      </c>
      <c r="G4" s="14" t="inlineStr">
        <is>
          <t>Article Link</t>
        </is>
      </c>
      <c r="H4" s="14" t="inlineStr">
        <is>
          <t>Author Name (fill in)</t>
        </is>
      </c>
    </row>
    <row r="5">
      <c r="A5" s="6" t="n">
        <v>1</v>
      </c>
      <c r="B5" s="6" t="inlineStr">
        <is>
          <t>Business Today (Lifestyle, Food &amp; Drinks)</t>
        </is>
      </c>
      <c r="C5" s="6" t="inlineStr">
        <is>
          <t>World Gin Day 2026: The best Indian and international gins to pour, sip, and savour this year</t>
        </is>
      </c>
      <c r="D5" s="6" t="inlineStr">
        <is>
          <t>13 Jun 2026</t>
        </is>
      </c>
      <c r="E5" s="6" t="inlineStr">
        <is>
          <t>Indian craft gins + international gins</t>
        </is>
      </c>
      <c r="F5" s="6" t="inlineStr">
        <is>
          <t>Search snippet suggests an author first-named 'Sonali'; not confirmed</t>
        </is>
      </c>
      <c r="G5" s="16" t="inlineStr">
        <is>
          <t>https://www.businesstoday.in/lifestyle/food-drinks/story/world-gin-day-2026-the-best-indian-and-international-gins-to-pour-sip-and-savour-this-year-536550-2026-06-13</t>
        </is>
      </c>
      <c r="H5" s="25" t="n"/>
    </row>
    <row r="6">
      <c r="A6" s="6" t="n">
        <v>2</v>
      </c>
      <c r="B6" s="6" t="inlineStr">
        <is>
          <t>Elle India</t>
        </is>
      </c>
      <c r="C6" s="6" t="inlineStr">
        <is>
          <t>Hailing From Uttarakhand To Meghalaya, These 8 Homegrown Gin Labels Celebrate India's Regional Ingredients</t>
        </is>
      </c>
      <c r="D6" s="6" t="inlineStr">
        <is>
          <t>World Gin Day (date on page)</t>
        </is>
      </c>
      <c r="E6" s="6" t="inlineStr">
        <is>
          <t>8 homegrown Indian gins</t>
        </is>
      </c>
      <c r="F6" s="6" t="inlineStr">
        <is>
          <t>Byline not visible in search</t>
        </is>
      </c>
      <c r="G6" s="16" t="inlineStr">
        <is>
          <t>https://elle.in/?p=233106</t>
        </is>
      </c>
      <c r="H6" s="25" t="n"/>
    </row>
    <row r="7">
      <c r="A7" s="6" t="n">
        <v>3</v>
      </c>
      <c r="B7" s="6" t="inlineStr">
        <is>
          <t>Elle India</t>
        </is>
      </c>
      <c r="C7" s="6" t="inlineStr">
        <is>
          <t>#WorldGinDay: 5 Homegrown Labels That Are Taking The Indian Gin Industry By Storm</t>
        </is>
      </c>
      <c r="D7" s="6" t="inlineStr">
        <is>
          <t>Older (date on page)</t>
        </is>
      </c>
      <c r="E7" s="6" t="inlineStr">
        <is>
          <t>5 homegrown Indian gins</t>
        </is>
      </c>
      <c r="F7" s="6" t="inlineStr">
        <is>
          <t>Byline not visible in search</t>
        </is>
      </c>
      <c r="G7" s="16" t="inlineStr">
        <is>
          <t>https://elle.in/?p=127930</t>
        </is>
      </c>
      <c r="H7" s="25" t="n"/>
    </row>
    <row r="8">
      <c r="A8" s="6" t="n">
        <v>4</v>
      </c>
      <c r="B8" s="6" t="inlineStr">
        <is>
          <t>Indian Retailer</t>
        </is>
      </c>
      <c r="C8" s="6" t="inlineStr">
        <is>
          <t>Top Mahua Brands in India: Discover the Tribal Spirit of India</t>
        </is>
      </c>
      <c r="D8" s="6" t="inlineStr">
        <is>
          <t>Date on page</t>
        </is>
      </c>
      <c r="E8" s="26" t="inlineStr">
        <is>
          <t>Mahua brands incl. Six Brothers Mahura, DesmondJi, Mah</t>
        </is>
      </c>
      <c r="F8" s="6" t="inlineStr">
        <is>
          <t>Byline not visible in search. Already features Six Brothers</t>
        </is>
      </c>
      <c r="G8" s="16" t="inlineStr">
        <is>
          <t>https://indianretailer.com/article/retail-business/consumer-trends/top-mahua-brands-india-discover-tribal-spirit-india</t>
        </is>
      </c>
      <c r="H8" s="25" t="n"/>
    </row>
    <row r="9">
      <c r="A9" s="6" t="n">
        <v>5</v>
      </c>
      <c r="B9" s="6" t="inlineStr">
        <is>
          <t>Indian Retailer</t>
        </is>
      </c>
      <c r="C9" s="6" t="inlineStr">
        <is>
          <t>Celebrate Gin Day with the Top 8 Indian Gin Brands in India</t>
        </is>
      </c>
      <c r="D9" s="6" t="inlineStr">
        <is>
          <t>Date on page</t>
        </is>
      </c>
      <c r="E9" s="6" t="inlineStr">
        <is>
          <t>8 Indian gins</t>
        </is>
      </c>
      <c r="F9" s="6" t="inlineStr">
        <is>
          <t>Byline not visible in search</t>
        </is>
      </c>
      <c r="G9" s="16" t="inlineStr">
        <is>
          <t>https://indianretailer.com/article/retail-business/consumer-trends/celebrate-gin-day-top-8-indian-gin-brands-india</t>
        </is>
      </c>
      <c r="H9" s="25" t="n"/>
    </row>
    <row r="10">
      <c r="A10" s="6" t="n">
        <v>6</v>
      </c>
      <c r="B10" s="6" t="inlineStr">
        <is>
          <t>Indian Retailer</t>
        </is>
      </c>
      <c r="C10" s="6" t="inlineStr">
        <is>
          <t>Top-Rated Rum Brands to Sip on This National Rum Day</t>
        </is>
      </c>
      <c r="D10" s="6" t="inlineStr">
        <is>
          <t>Date on page</t>
        </is>
      </c>
      <c r="E10" s="6" t="inlineStr">
        <is>
          <t>Rum brands</t>
        </is>
      </c>
      <c r="F10" s="6" t="inlineStr">
        <is>
          <t>Byline not visible in search</t>
        </is>
      </c>
      <c r="G10" s="16" t="inlineStr">
        <is>
          <t>https://indianretailer.com/article/retail-business/consumer-trends/top-rated-rum-brands-sip-national-rum-day</t>
        </is>
      </c>
      <c r="H10" s="25" t="n"/>
    </row>
    <row r="11">
      <c r="A11" s="6" t="n">
        <v>7</v>
      </c>
      <c r="B11" s="6" t="inlineStr">
        <is>
          <t>Outlook Traveller (OT Pours)</t>
        </is>
      </c>
      <c r="C11" s="6" t="inlineStr">
        <is>
          <t>8 Best Indian Rums To Add To Your Home Bar In 2026</t>
        </is>
      </c>
      <c r="D11" s="6" t="inlineStr">
        <is>
          <t>17 Jul 2026</t>
        </is>
      </c>
      <c r="E11" s="6" t="inlineStr">
        <is>
          <t>Camikara, Neoli, Pipa, Sitara and more</t>
        </is>
      </c>
      <c r="F11" s="6" t="inlineStr">
        <is>
          <t>Credited to 'OT Staff'; pitch OT Eats/OT Pours editor Anindita Ghosh</t>
        </is>
      </c>
      <c r="G11" s="16" t="inlineStr">
        <is>
          <t>https://www.outlooktraveller.com/ot-pours/8-premium-indian-rums-every-rum-lover-should-try</t>
        </is>
      </c>
      <c r="H11" s="25" t="n"/>
    </row>
    <row r="12">
      <c r="A12" s="6" t="n">
        <v>8</v>
      </c>
      <c r="B12" s="6" t="inlineStr">
        <is>
          <t>Outlook Traveller (OT Eats)</t>
        </is>
      </c>
      <c r="C12" s="6" t="inlineStr">
        <is>
          <t>World Rum Day 2025: 8 Indian Rums That Should Be On Your Radar</t>
        </is>
      </c>
      <c r="D12" s="6" t="inlineStr">
        <is>
          <t>7 Sep 2025</t>
        </is>
      </c>
      <c r="E12" s="6" t="inlineStr">
        <is>
          <t>8 Indian rums</t>
        </is>
      </c>
      <c r="F12" s="6" t="inlineStr">
        <is>
          <t>Credited to 'OT Staff'</t>
        </is>
      </c>
      <c r="G12" s="16" t="inlineStr">
        <is>
          <t>https://oteats.outlooktraveller.com/features/guides/world-rum-day-2025-8-indian-rums-that-should-be-on-your-radar</t>
        </is>
      </c>
      <c r="H12" s="25" t="n"/>
    </row>
    <row r="13">
      <c r="A13" s="6" t="n">
        <v>9</v>
      </c>
      <c r="B13" s="6" t="inlineStr">
        <is>
          <t>Curly Tales</t>
        </is>
      </c>
      <c r="C13" s="6" t="inlineStr">
        <is>
          <t>13 New Alcohol Launches In India Featuring Mango-Infused Rum, Japanese-Style Whisky &amp; More</t>
        </is>
      </c>
      <c r="D13" s="6" t="inlineStr">
        <is>
          <t>2026 (date on page)</t>
        </is>
      </c>
      <c r="E13" s="6" t="inlineStr">
        <is>
          <t>New spirit launches (recurring 'new launches' series)</t>
        </is>
      </c>
      <c r="F13" s="6" t="inlineStr">
        <is>
          <t>Possibly Mallika Khurana; not confirmed. Founder-editor: Kamiya Jani</t>
        </is>
      </c>
      <c r="G13" s="16" t="inlineStr">
        <is>
          <t>https://curlytales.com/india/food/new-alcohol-launches-in-india-featuring-mango-infused-rum-japanese-style-whisky-more/</t>
        </is>
      </c>
      <c r="H13" s="25" t="n"/>
    </row>
    <row r="14">
      <c r="A14" s="6" t="n">
        <v>10</v>
      </c>
      <c r="B14" s="6" t="inlineStr">
        <is>
          <t>Curly Tales</t>
        </is>
      </c>
      <c r="C14" s="6" t="inlineStr">
        <is>
          <t>From Agave To Aperitifs, 19 Top Brands That Defined India's Drinking Culture In 2025</t>
        </is>
      </c>
      <c r="D14" s="6" t="inlineStr">
        <is>
          <t>Dec 2025 / Jan 2026</t>
        </is>
      </c>
      <c r="E14" s="6" t="inlineStr">
        <is>
          <t>19 alcohol brands</t>
        </is>
      </c>
      <c r="F14" s="6" t="inlineStr">
        <is>
          <t>Byline not visible in search</t>
        </is>
      </c>
      <c r="G14" s="16" t="inlineStr">
        <is>
          <t>https://curlytales.com/india/food/from-agave-to-aperitifs-top-brands-that-defined-indias-drinking-culture-in/</t>
        </is>
      </c>
      <c r="H14" s="25" t="n"/>
    </row>
    <row r="15">
      <c r="A15" s="6" t="n">
        <v>11</v>
      </c>
      <c r="B15" s="6" t="inlineStr">
        <is>
          <t>Restaurant India</t>
        </is>
      </c>
      <c r="C15" s="6" t="inlineStr">
        <is>
          <t>Top Indian Craft Rum Brands Gaining Attention in 2026</t>
        </is>
      </c>
      <c r="D15" s="6" t="inlineStr">
        <is>
          <t>2026</t>
        </is>
      </c>
      <c r="E15" s="6" t="inlineStr">
        <is>
          <t>Indian craft rums</t>
        </is>
      </c>
      <c r="F15" s="6" t="inlineStr">
        <is>
          <t>Byline not visible in search (Saptopriya Ghosal and Mahak Sharma write similar lists here)</t>
        </is>
      </c>
      <c r="G15" s="16" t="inlineStr">
        <is>
          <t>https://www.restaurantindia.in/article/top-indian-craft-rum-brands-gaining-attention-in-2026.15338</t>
        </is>
      </c>
      <c r="H15" s="25" t="n"/>
    </row>
    <row r="16">
      <c r="A16" s="6" t="n">
        <v>12</v>
      </c>
      <c r="B16" s="6" t="inlineStr">
        <is>
          <t>Restaurant India</t>
        </is>
      </c>
      <c r="C16" s="6" t="inlineStr">
        <is>
          <t>Best Whisky in India 2026: Top 20 Whisky and Whiskey Brands With Price</t>
        </is>
      </c>
      <c r="D16" s="6" t="inlineStr">
        <is>
          <t>2026 update</t>
        </is>
      </c>
      <c r="E16" s="6" t="inlineStr">
        <is>
          <t>20 whisky brands</t>
        </is>
      </c>
      <c r="F16" s="6" t="inlineStr">
        <is>
          <t>Byline not visible in search</t>
        </is>
      </c>
      <c r="G16" s="16" t="inlineStr">
        <is>
          <t>https://www.restaurantindia.in/article/top-20-trendy-whiskeys-you-must-try-once.13499</t>
        </is>
      </c>
      <c r="H16" s="25" t="n"/>
    </row>
    <row r="17">
      <c r="A17" s="6" t="n">
        <v>13</v>
      </c>
      <c r="B17" s="6" t="inlineStr">
        <is>
          <t>The Telegraph (t2)</t>
        </is>
      </c>
      <c r="C17" s="6" t="inlineStr">
        <is>
          <t>From screen to shelf: the celebrity and industrialist brands redefining India's home bar</t>
        </is>
      </c>
      <c r="D17" s="6" t="inlineStr">
        <is>
          <t>2026 (date on page)</t>
        </is>
      </c>
      <c r="E17" s="6" t="inlineStr">
        <is>
          <t>Celebrity-backed spirits (Sanjay Dutt, Ajay Devgn, Badshah, Rana Daggubati)</t>
        </is>
      </c>
      <c r="F17" s="6" t="inlineStr">
        <is>
          <t>Byline not visible in search</t>
        </is>
      </c>
      <c r="G17" s="16" t="inlineStr">
        <is>
          <t>https://t2online.in/goodlife/food-beverage/from-screen-to-shelf--the-celebrity-and-industrialist-brands-redefining-india-s-home-bar/2007704</t>
        </is>
      </c>
      <c r="H17" s="25" t="n"/>
    </row>
    <row r="18">
      <c r="A18" s="6" t="n">
        <v>14</v>
      </c>
      <c r="B18" s="6" t="inlineStr">
        <is>
          <t>Drinks International (UK)</t>
        </is>
      </c>
      <c r="C18" s="6" t="inlineStr">
        <is>
          <t>The Millionaires' Club 2026: the world's bestselling Indian whisky brands</t>
        </is>
      </c>
      <c r="D18" s="6" t="inlineStr">
        <is>
          <t>4 Jun 2026</t>
        </is>
      </c>
      <c r="E18" s="6" t="inlineStr">
        <is>
          <t>Indian whisky volume rankings</t>
        </is>
      </c>
      <c r="F18" s="6" t="inlineStr">
        <is>
          <t>Byline not visible in search</t>
        </is>
      </c>
      <c r="G18" s="16" t="inlineStr">
        <is>
          <t>https://drinksint.com/news/fullstory.php/aid/12339/.html</t>
        </is>
      </c>
      <c r="H18" s="25" t="n"/>
    </row>
    <row r="19">
      <c r="A19" s="6" t="n">
        <v>15</v>
      </c>
      <c r="B19" s="6" t="inlineStr">
        <is>
          <t>The Nod Mag</t>
        </is>
      </c>
      <c r="C19" s="6" t="inlineStr">
        <is>
          <t>India's OG spirits, mahua and feni, are going from theka to the high table</t>
        </is>
      </c>
      <c r="D19" s="6" t="inlineStr">
        <is>
          <t>28 Feb 2025</t>
        </is>
      </c>
      <c r="E19" s="26" t="inlineStr">
        <is>
          <t>Mahua and feni brands incl. Six Brothers Mahura, DesmondJi</t>
        </is>
      </c>
      <c r="F19" s="6" t="inlineStr">
        <is>
          <t>Byline not visible in search. Already features Six Brothers</t>
        </is>
      </c>
      <c r="G19" s="16" t="inlineStr">
        <is>
          <t>https://thenodmag.com/content/rise-of-indian-local-spirits-mahua-feni</t>
        </is>
      </c>
      <c r="H19" s="25" t="n"/>
    </row>
    <row r="20">
      <c r="A20" s="6" t="n">
        <v>16</v>
      </c>
      <c r="B20" s="6" t="inlineStr">
        <is>
          <t>Outlook Luxe</t>
        </is>
      </c>
      <c r="C20" s="6" t="inlineStr">
        <is>
          <t>14+ New Spirit Launches To Celebrate The Festive Season</t>
        </is>
      </c>
      <c r="D20" s="6" t="inlineStr">
        <is>
          <t>Festive season (date on page)</t>
        </is>
      </c>
      <c r="E20" s="6" t="inlineStr">
        <is>
          <t>New spirit launches</t>
        </is>
      </c>
      <c r="F20" s="6" t="inlineStr">
        <is>
          <t>Byline not visible in search</t>
        </is>
      </c>
      <c r="G20" s="16" t="inlineStr">
        <is>
          <t>https://luxe.outlookindia.com/food-travel/14-new-spirit-launches-to-celebrate-the-festive-season</t>
        </is>
      </c>
      <c r="H20" s="25" t="n"/>
    </row>
  </sheetData>
  <autoFilter ref="A4:H20"/>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8" customWidth="1" min="3" max="3"/>
    <col width="30" customWidth="1" min="4" max="4"/>
    <col width="30" customWidth="1" min="5" max="5"/>
    <col width="14" customWidth="1" min="6" max="6"/>
    <col width="16" customWidth="1" min="7" max="7"/>
    <col width="34" customWidth="1" min="8" max="8"/>
    <col width="28" customWidth="1" min="9" max="9"/>
    <col width="22" customWidth="1" min="10" max="10"/>
    <col width="50" customWidth="1" min="11" max="11"/>
    <col width="40" customWidth="1" min="12" max="12"/>
    <col width="46" customWidth="1" min="13" max="13"/>
  </cols>
  <sheetData>
    <row r="1">
      <c r="A1" s="1" t="inlineStr">
        <is>
          <t>Devyani - Lifestyle</t>
        </is>
      </c>
    </row>
    <row r="2">
      <c r="A2" s="13" t="inlineStr">
        <is>
          <t>FOR DEVYANI JAIPURIA ONLY. National lifestyle and women's titles for her personal-branding narrative.</t>
        </is>
      </c>
    </row>
    <row r="4" ht="30" customHeight="1">
      <c r="A4" s="10" t="inlineStr">
        <is>
          <t>S.No</t>
        </is>
      </c>
      <c r="B4" s="10" t="inlineStr">
        <is>
          <t>Journalist Name</t>
        </is>
      </c>
      <c r="C4" s="10" t="inlineStr">
        <is>
          <t>Designation</t>
        </is>
      </c>
      <c r="D4" s="10" t="inlineStr">
        <is>
          <t>Organisation</t>
        </is>
      </c>
      <c r="E4" s="10" t="inlineStr">
        <is>
          <t>Beat / Vertical</t>
        </is>
      </c>
      <c r="F4" s="10" t="inlineStr">
        <is>
          <t>City</t>
        </is>
      </c>
      <c r="G4" s="10" t="inlineStr">
        <is>
          <t>Phone</t>
        </is>
      </c>
      <c r="H4" s="10" t="inlineStr">
        <is>
          <t>Email</t>
        </is>
      </c>
      <c r="I4" s="10" t="inlineStr">
        <is>
          <t>Contact Source (your lists)</t>
        </is>
      </c>
      <c r="J4" s="10" t="inlineStr">
        <is>
          <t>Verification Status</t>
        </is>
      </c>
      <c r="K4" s="10" t="inlineStr">
        <is>
          <t>Latest Activity Found</t>
        </is>
      </c>
      <c r="L4" s="10" t="inlineStr">
        <is>
          <t>Evidence Link</t>
        </is>
      </c>
      <c r="M4" s="10" t="inlineStr">
        <is>
          <t>Notes / Brand Fit</t>
        </is>
      </c>
    </row>
    <row r="5">
      <c r="A5" s="6" t="n">
        <v>1</v>
      </c>
      <c r="B5" s="6" t="inlineStr">
        <is>
          <t>Jamal Shaikh</t>
        </is>
      </c>
      <c r="C5" s="6" t="inlineStr">
        <is>
          <t>National Editor, Brunch and New Media Initiatives</t>
        </is>
      </c>
      <c r="D5" s="6" t="inlineStr">
        <is>
          <t>Hindustan Times (HT Brunch)</t>
        </is>
      </c>
      <c r="E5" s="6" t="inlineStr">
        <is>
          <t>Lifestyle, culture, people</t>
        </is>
      </c>
      <c r="F5" s="6" t="inlineStr">
        <is>
          <t>New Delhi</t>
        </is>
      </c>
      <c r="G5" s="6" t="n"/>
      <c r="H5" s="6" t="n"/>
      <c r="I5" s="6" t="inlineStr">
        <is>
          <t>Not in lists</t>
        </is>
      </c>
      <c r="J5" s="17" t="inlineStr">
        <is>
          <t>Verified - active 2026</t>
        </is>
      </c>
      <c r="K5" s="6" t="inlineStr">
        <is>
          <t>Active as HT Brunch editor; contributed to The Voice of Fashion (Jun 2026)</t>
        </is>
      </c>
      <c r="L5" s="16" t="inlineStr">
        <is>
          <t>https://muckrack.com/jamal-shaikh/articles</t>
        </is>
      </c>
      <c r="M5" s="6" t="inlineStr">
        <is>
          <t>Fit: Devyani Brunch cover or profile (art collector, mother of three, entrepreneur).</t>
        </is>
      </c>
    </row>
    <row r="6">
      <c r="A6" s="6" t="n">
        <v>2</v>
      </c>
      <c r="B6" s="6" t="inlineStr">
        <is>
          <t>Rochelle Pinto</t>
        </is>
      </c>
      <c r="C6" s="6" t="inlineStr">
        <is>
          <t>Head of Editorial Content</t>
        </is>
      </c>
      <c r="D6" s="6" t="inlineStr">
        <is>
          <t>Vogue India</t>
        </is>
      </c>
      <c r="E6" s="6" t="inlineStr">
        <is>
          <t>Fashion, culture, women</t>
        </is>
      </c>
      <c r="F6" s="6" t="inlineStr">
        <is>
          <t>Mumbai</t>
        </is>
      </c>
      <c r="G6" s="6" t="n"/>
      <c r="H6" s="6" t="n"/>
      <c r="I6" s="6" t="inlineStr">
        <is>
          <t>Not in lists</t>
        </is>
      </c>
      <c r="J6" s="17" t="inlineStr">
        <is>
          <t>Verified - active 2026</t>
        </is>
      </c>
      <c r="K6" s="6" t="inlineStr">
        <is>
          <t>Head of Editorial Content credited on 2026 issues</t>
        </is>
      </c>
      <c r="L6" s="16" t="inlineStr">
        <is>
          <t>https://www.exchange4media.com/people-movement-news/rochelle-pinto-is-head-of-editorial-content-for-vogue-india-130285.html</t>
        </is>
      </c>
      <c r="M6" s="6" t="inlineStr">
        <is>
          <t>Fit: Devyani (art and style feature, Neerja Birla template).</t>
        </is>
      </c>
    </row>
    <row r="7">
      <c r="A7" s="6" t="n">
        <v>3</v>
      </c>
      <c r="B7" s="6" t="inlineStr">
        <is>
          <t>Rasna Bhasin</t>
        </is>
      </c>
      <c r="C7" s="6" t="inlineStr">
        <is>
          <t>Editor-in-Chief</t>
        </is>
      </c>
      <c r="D7" s="6" t="inlineStr">
        <is>
          <t>Harper's Bazaar India (India Today Group)</t>
        </is>
      </c>
      <c r="E7" s="6" t="inlineStr">
        <is>
          <t>Fashion, luxury, culture, art</t>
        </is>
      </c>
      <c r="F7" s="6" t="inlineStr">
        <is>
          <t>New Delhi</t>
        </is>
      </c>
      <c r="G7" s="6" t="n"/>
      <c r="H7" s="6" t="n"/>
      <c r="I7" s="6" t="inlineStr">
        <is>
          <t>Not in lists</t>
        </is>
      </c>
      <c r="J7" s="17" t="inlineStr">
        <is>
          <t>Verified - active 2026</t>
        </is>
      </c>
      <c r="K7" s="6" t="inlineStr">
        <is>
          <t>Profiled as Editor-in-Chief (28 Apr 2026)</t>
        </is>
      </c>
      <c r="L7" s="16" t="inlineStr">
        <is>
          <t>https://www.hearstmagazinesinternational.com/news/off-the-page-with-rasna-bhasin-editor-in-chief-of-harpers-bazaar-india/</t>
        </is>
      </c>
      <c r="M7" s="6" t="inlineStr">
        <is>
          <t>Fit: Devyani (collectors and culture coverage).</t>
        </is>
      </c>
    </row>
    <row r="8">
      <c r="A8" s="6" t="n">
        <v>4</v>
      </c>
      <c r="B8" s="6" t="inlineStr">
        <is>
          <t>Che Kurrien</t>
        </is>
      </c>
      <c r="C8" s="6" t="inlineStr">
        <is>
          <t>Head of Editorial Content</t>
        </is>
      </c>
      <c r="D8" s="6" t="inlineStr">
        <is>
          <t>GQ India</t>
        </is>
      </c>
      <c r="E8" s="6" t="inlineStr">
        <is>
          <t>Men's lifestyle, culture, power lists</t>
        </is>
      </c>
      <c r="F8" s="6" t="inlineStr">
        <is>
          <t>Mumbai</t>
        </is>
      </c>
      <c r="G8" s="6" t="n"/>
      <c r="H8" s="6" t="n"/>
      <c r="I8" s="6" t="inlineStr">
        <is>
          <t>Not in lists</t>
        </is>
      </c>
      <c r="J8" s="17" t="inlineStr">
        <is>
          <t>Verified - active 2026</t>
        </is>
      </c>
      <c r="K8" s="6" t="inlineStr">
        <is>
          <t>Listed as Head of Editorial Content, GQ India (Apr 2026)</t>
        </is>
      </c>
      <c r="L8" s="16" t="inlineStr">
        <is>
          <t>https://muckrack.com/che-kurrien/articles</t>
        </is>
      </c>
      <c r="M8" s="6" t="inlineStr">
        <is>
          <t>Fit: Devyani (GQ-type features named in brief).</t>
        </is>
      </c>
    </row>
    <row r="9">
      <c r="A9" s="6" t="n">
        <v>5</v>
      </c>
      <c r="B9" s="6" t="inlineStr">
        <is>
          <t>Ainee Nizami Ahmedi</t>
        </is>
      </c>
      <c r="C9" s="6" t="inlineStr">
        <is>
          <t>Editor / Editorial Director</t>
        </is>
      </c>
      <c r="D9" s="6" t="inlineStr">
        <is>
          <t>Elle India</t>
        </is>
      </c>
      <c r="E9" s="6" t="inlineStr">
        <is>
          <t>Fashion, beauty, women</t>
        </is>
      </c>
      <c r="F9" s="6" t="inlineStr">
        <is>
          <t>Mumbai</t>
        </is>
      </c>
      <c r="G9" s="6" t="n"/>
      <c r="H9" s="6" t="n"/>
      <c r="I9" s="6" t="inlineStr">
        <is>
          <t>Not in lists</t>
        </is>
      </c>
      <c r="J9" s="18" t="inlineStr">
        <is>
          <t>To confirm</t>
        </is>
      </c>
      <c r="K9" s="6" t="inlineStr">
        <is>
          <t>Named Editor on Elle India pages; no dated 2026 evidence found</t>
        </is>
      </c>
      <c r="L9" s="16" t="inlineStr">
        <is>
          <t>https://elle.in/contact-us</t>
        </is>
      </c>
      <c r="M9" s="6" t="inlineStr">
        <is>
          <t>Your A &amp; M list names Karuna Laungani as Elle editor; that is outdated.</t>
        </is>
      </c>
    </row>
    <row r="10">
      <c r="A10" s="6" t="n">
        <v>6</v>
      </c>
      <c r="B10" s="6" t="inlineStr">
        <is>
          <t>Snigdha Ahuja</t>
        </is>
      </c>
      <c r="C10" s="6" t="inlineStr">
        <is>
          <t>Editor</t>
        </is>
      </c>
      <c r="D10" s="6" t="inlineStr">
        <is>
          <t>Cosmopolitan India (India Today Group)</t>
        </is>
      </c>
      <c r="E10" s="6" t="inlineStr">
        <is>
          <t>Fashion, beauty, pop culture</t>
        </is>
      </c>
      <c r="F10" s="6" t="inlineStr">
        <is>
          <t>New Delhi</t>
        </is>
      </c>
      <c r="G10" s="6" t="n"/>
      <c r="H10" s="6" t="n"/>
      <c r="I10" s="6" t="inlineStr">
        <is>
          <t>Not in lists</t>
        </is>
      </c>
      <c r="J10" s="15" t="inlineStr">
        <is>
          <t>Verified - current role</t>
        </is>
      </c>
      <c r="K10" s="6" t="inlineStr">
        <is>
          <t>Appointment as Editor, Cosmopolitan India (2025)</t>
        </is>
      </c>
      <c r="L10" s="16" t="inlineStr">
        <is>
          <t>https://www.exchange4media.com/media-print-news/snigdha-ahuja-appointed-as-new-editor-of-cosmopolitan-india-143224.html</t>
        </is>
      </c>
      <c r="M10" s="6" t="inlineStr">
        <is>
          <t>Fit: Devyani (women, motherhood, style).</t>
        </is>
      </c>
    </row>
    <row r="11">
      <c r="A11" s="6" t="n">
        <v>7</v>
      </c>
      <c r="B11" s="6" t="inlineStr">
        <is>
          <t>Ambika Muttoo</t>
        </is>
      </c>
      <c r="C11" s="6" t="inlineStr">
        <is>
          <t>Editor-in-Chief</t>
        </is>
      </c>
      <c r="D11" s="6" t="inlineStr">
        <is>
          <t>Femina</t>
        </is>
      </c>
      <c r="E11" s="6" t="inlineStr">
        <is>
          <t>Women, lifestyle, achievers</t>
        </is>
      </c>
      <c r="F11" s="6" t="inlineStr">
        <is>
          <t>Mumbai</t>
        </is>
      </c>
      <c r="G11" s="6" t="n"/>
      <c r="H11" s="6" t="n"/>
      <c r="I11" s="6" t="inlineStr">
        <is>
          <t>Not in lists</t>
        </is>
      </c>
      <c r="J11" s="17" t="inlineStr">
        <is>
          <t>Verified - active 2026</t>
        </is>
      </c>
      <c r="K11" s="6" t="inlineStr">
        <is>
          <t>Femina Beauty Awards 2026 jury (6 May 2026); leads Femina Achievers</t>
        </is>
      </c>
      <c r="L11" s="16" t="inlineStr">
        <is>
          <t>https://www.mediainfoline.com/awards/femina-beauty-awards-2026-ananya-panday-kriti-sanon-and-tamannaah-bhatia-lead-a-star-studded-night</t>
        </is>
      </c>
      <c r="M11" s="6" t="inlineStr">
        <is>
          <t>Fit: Devyani (Femina Achievers, women entrepreneurs, motherhood).</t>
        </is>
      </c>
    </row>
    <row r="12">
      <c r="A12" s="6" t="n">
        <v>8</v>
      </c>
      <c r="B12" s="6" t="inlineStr">
        <is>
          <t>Shalini Umachandran</t>
        </is>
      </c>
      <c r="C12" s="6" t="inlineStr">
        <is>
          <t>Editor</t>
        </is>
      </c>
      <c r="D12" s="6" t="inlineStr">
        <is>
          <t>Mint Lounge</t>
        </is>
      </c>
      <c r="E12" s="6" t="inlineStr">
        <is>
          <t>Art, culture, lifestyle</t>
        </is>
      </c>
      <c r="F12" s="6" t="n"/>
      <c r="G12" s="6" t="n"/>
      <c r="H12" s="6" t="n"/>
      <c r="I12" s="6" t="inlineStr">
        <is>
          <t>Not in lists</t>
        </is>
      </c>
      <c r="J12" s="15" t="inlineStr">
        <is>
          <t>Verified - current role</t>
        </is>
      </c>
      <c r="K12" s="6" t="inlineStr">
        <is>
          <t>Writes Mint Lounge's newsletter as editor (e.g. 'Unconditional love and AI')</t>
        </is>
      </c>
      <c r="L12" s="16" t="inlineStr">
        <is>
          <t>https://mintlounge.substack.com/p/unconditional-love-and-ai</t>
        </is>
      </c>
      <c r="M12" s="6" t="inlineStr">
        <is>
          <t>Brief names Mint Lounge as a target. Lead editor for a Devyani profile pitch.</t>
        </is>
      </c>
    </row>
    <row r="13">
      <c r="A13" s="6" t="n">
        <v>9</v>
      </c>
      <c r="B13" s="6" t="inlineStr">
        <is>
          <t>Rahul Gangwani</t>
        </is>
      </c>
      <c r="C13" s="6" t="inlineStr">
        <is>
          <t>Editor-in-Chief</t>
        </is>
      </c>
      <c r="D13" s="6" t="inlineStr">
        <is>
          <t>Lifestyle Asia India (Burda Media India)</t>
        </is>
      </c>
      <c r="E13" s="6" t="inlineStr">
        <is>
          <t>Luxury lifestyle</t>
        </is>
      </c>
      <c r="F13" s="6" t="inlineStr">
        <is>
          <t>Mumbai</t>
        </is>
      </c>
      <c r="G13" s="6" t="n"/>
      <c r="H13" s="6" t="n"/>
      <c r="I13" s="6" t="inlineStr">
        <is>
          <t>Not in lists</t>
        </is>
      </c>
      <c r="J13" s="18" t="inlineStr">
        <is>
          <t>To confirm</t>
        </is>
      </c>
      <c r="K13" s="6" t="inlineStr">
        <is>
          <t>Listed as Editor-in-Chief on company page</t>
        </is>
      </c>
      <c r="L13" s="16" t="inlineStr">
        <is>
          <t>https://in.linkedin.com/company/lifestyle-asia-india</t>
        </is>
      </c>
      <c r="M13" s="6" t="inlineStr">
        <is>
          <t>Confirm before pitching.</t>
        </is>
      </c>
    </row>
    <row r="14">
      <c r="A14" s="6" t="n">
        <v>10</v>
      </c>
      <c r="B14" s="6" t="inlineStr">
        <is>
          <t>Yilobeni Valerie Patton</t>
        </is>
      </c>
      <c r="C14" s="6" t="inlineStr">
        <is>
          <t>Features Editor</t>
        </is>
      </c>
      <c r="D14" s="6" t="inlineStr">
        <is>
          <t>Outlook Luxe</t>
        </is>
      </c>
      <c r="E14" s="6" t="inlineStr">
        <is>
          <t>Luxury, culture, people</t>
        </is>
      </c>
      <c r="F14" s="6" t="inlineStr">
        <is>
          <t>New Delhi</t>
        </is>
      </c>
      <c r="G14" s="6" t="n"/>
      <c r="H14" s="6" t="n"/>
      <c r="I14" s="6" t="inlineStr">
        <is>
          <t>Not in lists</t>
        </is>
      </c>
      <c r="J14" s="15" t="inlineStr">
        <is>
          <t>Verified - current role</t>
        </is>
      </c>
      <c r="K14" s="6" t="inlineStr">
        <is>
          <t>Named Features Editor on Outlook Luxe team page</t>
        </is>
      </c>
      <c r="L14" s="16" t="inlineStr">
        <is>
          <t>https://luxe.outlookindia.com/about-us</t>
        </is>
      </c>
      <c r="M14" s="6" t="inlineStr">
        <is>
          <t>Fit: Devyani (luxury lifestyle profile).</t>
        </is>
      </c>
    </row>
    <row r="15">
      <c r="A15" s="6" t="n">
        <v>11</v>
      </c>
      <c r="B15" s="6" t="inlineStr">
        <is>
          <t>Priyamvada</t>
        </is>
      </c>
      <c r="C15" s="6" t="inlineStr">
        <is>
          <t>Senior Principal Correspondent</t>
        </is>
      </c>
      <c r="D15" s="6" t="inlineStr">
        <is>
          <t>Outlook Luxe</t>
        </is>
      </c>
      <c r="E15" s="6" t="inlineStr">
        <is>
          <t>Fashion, design, art, beauty, culture</t>
        </is>
      </c>
      <c r="F15" s="6" t="inlineStr">
        <is>
          <t>New Delhi</t>
        </is>
      </c>
      <c r="G15" s="6" t="n"/>
      <c r="H15" s="6" t="n"/>
      <c r="I15" s="6" t="inlineStr">
        <is>
          <t>Not in lists</t>
        </is>
      </c>
      <c r="J15" s="15" t="inlineStr">
        <is>
          <t>Verified - current role</t>
        </is>
      </c>
      <c r="K15" s="6" t="inlineStr">
        <is>
          <t>Named on Outlook Luxe team page</t>
        </is>
      </c>
      <c r="L15" s="16" t="inlineStr">
        <is>
          <t>https://luxe.outlookindia.com/about-us</t>
        </is>
      </c>
      <c r="M15" s="6" t="inlineStr">
        <is>
          <t>Fit: Devyani (art collection). Surname not listed on source.</t>
        </is>
      </c>
    </row>
    <row r="16">
      <c r="A16" s="6" t="n">
        <v>12</v>
      </c>
      <c r="B16" s="6" t="inlineStr">
        <is>
          <t>Aalika Mahindra</t>
        </is>
      </c>
      <c r="C16" s="6" t="inlineStr">
        <is>
          <t>Editorial Director</t>
        </is>
      </c>
      <c r="D16" s="6" t="inlineStr">
        <is>
          <t>Verve</t>
        </is>
      </c>
      <c r="E16" s="6" t="inlineStr">
        <is>
          <t>Women, luxury lifestyle</t>
        </is>
      </c>
      <c r="F16" s="6" t="inlineStr">
        <is>
          <t>Mumbai</t>
        </is>
      </c>
      <c r="G16" s="6" t="n"/>
      <c r="H16" s="6" t="n"/>
      <c r="I16" s="6" t="inlineStr">
        <is>
          <t>Not in lists</t>
        </is>
      </c>
      <c r="J16" s="18" t="inlineStr">
        <is>
          <t>To confirm</t>
        </is>
      </c>
      <c r="K16" s="6" t="inlineStr">
        <is>
          <t>Listed as Editorial Director; no dated 2026 evidence</t>
        </is>
      </c>
      <c r="L16" s="16" t="inlineStr">
        <is>
          <t>https://en.wikipedia.org/wiki/Verve_(Indian_magazine)</t>
        </is>
      </c>
      <c r="M16" s="6" t="inlineStr">
        <is>
          <t>Confirm before pitching.</t>
        </is>
      </c>
    </row>
    <row r="17">
      <c r="A17" s="6" t="n">
        <v>13</v>
      </c>
      <c r="B17" s="6" t="inlineStr">
        <is>
          <t>Bibek Bhattacharya</t>
        </is>
      </c>
      <c r="C17" s="6" t="inlineStr">
        <is>
          <t>National Editor, Mint; Deputy Editor, Mint Lounge</t>
        </is>
      </c>
      <c r="D17" s="6" t="inlineStr">
        <is>
          <t>Mint / Mint Lounge</t>
        </is>
      </c>
      <c r="E17" s="6" t="inlineStr">
        <is>
          <t>Arts, science, climate, culture</t>
        </is>
      </c>
      <c r="F17" s="6" t="inlineStr">
        <is>
          <t>New Delhi</t>
        </is>
      </c>
      <c r="G17" s="6" t="n"/>
      <c r="H17" s="6" t="n"/>
      <c r="I17" s="6" t="inlineStr">
        <is>
          <t>New research: contact to source</t>
        </is>
      </c>
      <c r="J17" s="15" t="inlineStr">
        <is>
          <t>Verified - current role</t>
        </is>
      </c>
      <c r="K17" s="6" t="inlineStr">
        <is>
          <t>Muck Rack and speaker profiles list him as Deputy Editor, Mint Lounge</t>
        </is>
      </c>
      <c r="L17" s="16" t="inlineStr">
        <is>
          <t>https://muckrack.com/bibek-bhattacharya/articles</t>
        </is>
      </c>
      <c r="M17" s="6" t="inlineStr">
        <is>
          <t>Fit: Devyani (Mint Lounge profile, art).</t>
        </is>
      </c>
    </row>
    <row r="18">
      <c r="A18" s="6" t="n">
        <v>14</v>
      </c>
      <c r="B18" s="6" t="inlineStr">
        <is>
          <t>Divya Naik</t>
        </is>
      </c>
      <c r="C18" s="6" t="inlineStr">
        <is>
          <t>Writer</t>
        </is>
      </c>
      <c r="D18" s="6" t="inlineStr">
        <is>
          <t>Mint Lounge</t>
        </is>
      </c>
      <c r="E18" s="6" t="inlineStr">
        <is>
          <t>Women, work, motherhood</t>
        </is>
      </c>
      <c r="F18" s="6" t="n"/>
      <c r="G18" s="6" t="n"/>
      <c r="H18" s="6" t="n"/>
      <c r="I18" s="6" t="inlineStr">
        <is>
          <t>New research: contact to source</t>
        </is>
      </c>
      <c r="J18" s="15" t="inlineStr">
        <is>
          <t>Verified - current role</t>
        </is>
      </c>
      <c r="K18" s="6" t="inlineStr">
        <is>
          <t>Mint Lounge pieces on the 'supermom' myth and women returning to work</t>
        </is>
      </c>
      <c r="L18" s="16" t="inlineStr">
        <is>
          <t>https://muckrack.com/media-outlet/lifestylelivemint</t>
        </is>
      </c>
      <c r="M18" s="6" t="inlineStr">
        <is>
          <t>Fit: Devyani (mother of three running education and healthcare ventures).</t>
        </is>
      </c>
    </row>
    <row r="19">
      <c r="A19" s="6" t="n">
        <v>15</v>
      </c>
      <c r="B19" s="6" t="inlineStr">
        <is>
          <t>Seema Goswami</t>
        </is>
      </c>
      <c r="C19" s="6" t="inlineStr">
        <is>
          <t>Columnist ('Spectator', HT Brunch); host, 'Seema Says' (The Wire)</t>
        </is>
      </c>
      <c r="D19" s="6" t="inlineStr">
        <is>
          <t>Hindustan Times / The Wire</t>
        </is>
      </c>
      <c r="E19" s="6" t="inlineStr">
        <is>
          <t>Society, politics, culture</t>
        </is>
      </c>
      <c r="F19" s="6" t="inlineStr">
        <is>
          <t>New Delhi</t>
        </is>
      </c>
      <c r="G19" s="6" t="n"/>
      <c r="H19" s="6" t="n"/>
      <c r="I19" s="6" t="inlineStr">
        <is>
          <t>New research: contact to source</t>
        </is>
      </c>
      <c r="J19" s="17" t="inlineStr">
        <is>
          <t>Verified - active 2026</t>
        </is>
      </c>
      <c r="K19" s="6" t="inlineStr">
        <is>
          <t>Hosts 'Seema Says' on The Wire (2026 episodes); weekly HT Brunch column</t>
        </is>
      </c>
      <c r="L19" s="16" t="inlineStr">
        <is>
          <t>https://thewire.in/government/seema-says-a-joyless-election-energy-woes-palantir-manifesto-and-wheres-the-football</t>
        </is>
      </c>
      <c r="M19" s="6" t="inlineStr">
        <is>
          <t>Fit: Devyani (women in public life, culture).</t>
        </is>
      </c>
    </row>
    <row r="20">
      <c r="A20" s="6" t="n">
        <v>16</v>
      </c>
      <c r="B20" s="6" t="inlineStr">
        <is>
          <t>Shara Asraf</t>
        </is>
      </c>
      <c r="C20" s="6" t="inlineStr">
        <is>
          <t>National Editor, Lifestyle and Special Projects</t>
        </is>
      </c>
      <c r="D20" s="6" t="inlineStr">
        <is>
          <t>HT City (Hindustan Times)</t>
        </is>
      </c>
      <c r="E20" s="6" t="inlineStr">
        <is>
          <t>Lifestyle, fashion, Delhi events</t>
        </is>
      </c>
      <c r="F20" s="6" t="inlineStr">
        <is>
          <t>New Delhi</t>
        </is>
      </c>
      <c r="G20" s="6" t="n"/>
      <c r="H20" s="6" t="n"/>
      <c r="I20" s="6" t="inlineStr">
        <is>
          <t>New research: contact to source</t>
        </is>
      </c>
      <c r="J20" s="15" t="inlineStr">
        <is>
          <t>Verified - current role</t>
        </is>
      </c>
      <c r="K20" s="6" t="inlineStr">
        <is>
          <t>Muck Rack profile: National Editor, Lifestyle and Special Projects, HT City</t>
        </is>
      </c>
      <c r="L20" s="16" t="inlineStr">
        <is>
          <t>https://muckrack.com/shara-asraf</t>
        </is>
      </c>
      <c r="M20" s="6" t="inlineStr">
        <is>
          <t>Fit: Devyani (Delhi lifestyle, HT City features).</t>
        </is>
      </c>
    </row>
    <row r="21">
      <c r="A21" s="6" t="n">
        <v>17</v>
      </c>
      <c r="B21" s="6" t="inlineStr">
        <is>
          <t>Veenu Singh</t>
        </is>
      </c>
      <c r="C21" s="6" t="inlineStr">
        <is>
          <t>Special Correspondent (arts and entertainment)</t>
        </is>
      </c>
      <c r="D21" s="6" t="inlineStr">
        <is>
          <t>Hindustan Times</t>
        </is>
      </c>
      <c r="E21" s="6" t="inlineStr">
        <is>
          <t>Arts, entertainment, lifestyle</t>
        </is>
      </c>
      <c r="F21" s="6" t="inlineStr">
        <is>
          <t>New Delhi</t>
        </is>
      </c>
      <c r="G21" s="6" t="n"/>
      <c r="H21" s="6" t="n"/>
      <c r="I21" s="6" t="inlineStr">
        <is>
          <t>New research: contact to source</t>
        </is>
      </c>
      <c r="J21" s="15" t="inlineStr">
        <is>
          <t>Verified - current role</t>
        </is>
      </c>
      <c r="K21" s="6" t="inlineStr">
        <is>
          <t>Muck Rack: HT Special Correspondent covering arts and entertainment</t>
        </is>
      </c>
      <c r="L21" s="16" t="inlineStr">
        <is>
          <t>https://muckrack.com/veenu-singh/articles</t>
        </is>
      </c>
      <c r="M21" s="6" t="inlineStr">
        <is>
          <t>Fit: Devyani art angle; Delhi cultural events.</t>
        </is>
      </c>
    </row>
    <row r="22">
      <c r="A22" s="6" t="n">
        <v>18</v>
      </c>
      <c r="B22" s="6" t="inlineStr">
        <is>
          <t>Trisha Mukherjee</t>
        </is>
      </c>
      <c r="C22" s="6" t="inlineStr">
        <is>
          <t>Associate Editor</t>
        </is>
      </c>
      <c r="D22" s="6" t="inlineStr">
        <is>
          <t>The Indian Express</t>
        </is>
      </c>
      <c r="E22" s="6" t="inlineStr">
        <is>
          <t>Art, food, travel, books, features</t>
        </is>
      </c>
      <c r="F22" s="6" t="inlineStr">
        <is>
          <t>New Delhi</t>
        </is>
      </c>
      <c r="G22" s="6" t="n"/>
      <c r="H22" s="6" t="n"/>
      <c r="I22" s="6" t="inlineStr">
        <is>
          <t>New research: contact to source</t>
        </is>
      </c>
      <c r="J22" s="17" t="inlineStr">
        <is>
          <t>Verified - active 2026</t>
        </is>
      </c>
      <c r="K22" s="6" t="inlineStr">
        <is>
          <t>Muck Rack: Associate Editor with 2026 articles on art, food and travel</t>
        </is>
      </c>
      <c r="L22" s="16" t="inlineStr">
        <is>
          <t>https://muckrack.com/trisha-mukherjee-2/articles</t>
        </is>
      </c>
      <c r="M22" s="6" t="inlineStr">
        <is>
          <t>Fit: Devyani art-collection feature.</t>
        </is>
      </c>
    </row>
    <row r="23">
      <c r="A23" s="6" t="n">
        <v>19</v>
      </c>
      <c r="B23" s="6" t="inlineStr">
        <is>
          <t>Veenu Sandhu</t>
        </is>
      </c>
      <c r="C23" s="6" t="inlineStr">
        <is>
          <t>Senior Associate Editor (features)</t>
        </is>
      </c>
      <c r="D23" s="6" t="inlineStr">
        <is>
          <t>Business Standard</t>
        </is>
      </c>
      <c r="E23" s="6" t="inlineStr">
        <is>
          <t>Features, people, culture</t>
        </is>
      </c>
      <c r="F23" s="6" t="inlineStr">
        <is>
          <t>New Delhi</t>
        </is>
      </c>
      <c r="G23" s="6" t="n"/>
      <c r="H23" s="6" t="n"/>
      <c r="I23" s="6" t="inlineStr">
        <is>
          <t>New research: contact to source</t>
        </is>
      </c>
      <c r="J23" s="17" t="inlineStr">
        <is>
          <t>Verified - active 2026</t>
        </is>
      </c>
      <c r="K23" s="6" t="inlineStr">
        <is>
          <t>Business Standard author page active Mar 2026</t>
        </is>
      </c>
      <c r="L23" s="16" t="inlineStr">
        <is>
          <t>https://business-standard.com/author/veenu-sandhu</t>
        </is>
      </c>
      <c r="M23" s="6" t="inlineStr">
        <is>
          <t>Fit: Devyani business-and-life profile (BS Weekend).</t>
        </is>
      </c>
    </row>
    <row r="24">
      <c r="A24" s="6" t="n">
        <v>20</v>
      </c>
      <c r="B24" s="6" t="inlineStr">
        <is>
          <t>Sadaf Shaikh</t>
        </is>
      </c>
      <c r="C24" s="6" t="inlineStr">
        <is>
          <t>Senior Features Editor</t>
        </is>
      </c>
      <c r="D24" s="6" t="inlineStr">
        <is>
          <t>Vogue India</t>
        </is>
      </c>
      <c r="E24" s="6" t="inlineStr">
        <is>
          <t>Features, culture</t>
        </is>
      </c>
      <c r="F24" s="6" t="inlineStr">
        <is>
          <t>Mumbai</t>
        </is>
      </c>
      <c r="G24" s="6" t="n"/>
      <c r="H24" s="6" t="n"/>
      <c r="I24" s="6" t="inlineStr">
        <is>
          <t>New research: contact to source</t>
        </is>
      </c>
      <c r="J24" s="15" t="inlineStr">
        <is>
          <t>Verified - current role</t>
        </is>
      </c>
      <c r="K24" s="6" t="inlineStr">
        <is>
          <t>Listed on Vogue India's Muck Rack page (2025-26 work)</t>
        </is>
      </c>
      <c r="L24" s="16" t="inlineStr">
        <is>
          <t>https://muckrack.com/sadaf-shaikh/articles</t>
        </is>
      </c>
      <c r="M24" s="6" t="inlineStr">
        <is>
          <t>Fit: Devyani feature with Vogue.</t>
        </is>
      </c>
    </row>
    <row r="25">
      <c r="A25" s="6" t="n">
        <v>21</v>
      </c>
      <c r="B25" s="6" t="inlineStr">
        <is>
          <t>Akanksha Kamath</t>
        </is>
      </c>
      <c r="C25" s="6" t="inlineStr">
        <is>
          <t>Fashion Features Director</t>
        </is>
      </c>
      <c r="D25" s="6" t="inlineStr">
        <is>
          <t>Vogue India</t>
        </is>
      </c>
      <c r="E25" s="6" t="inlineStr">
        <is>
          <t>Fashion features</t>
        </is>
      </c>
      <c r="F25" s="6" t="inlineStr">
        <is>
          <t>Mumbai</t>
        </is>
      </c>
      <c r="G25" s="6" t="n"/>
      <c r="H25" s="6" t="n"/>
      <c r="I25" s="6" t="inlineStr">
        <is>
          <t>New research: contact to source</t>
        </is>
      </c>
      <c r="J25" s="15" t="inlineStr">
        <is>
          <t>Verified - current role</t>
        </is>
      </c>
      <c r="K25" s="6" t="inlineStr">
        <is>
          <t>Listed on Vogue India's Muck Rack page</t>
        </is>
      </c>
      <c r="L25" s="16" t="inlineStr">
        <is>
          <t>https://muckrack.com/akanksha-kamath</t>
        </is>
      </c>
      <c r="M25" s="6" t="inlineStr">
        <is>
          <t>Fit: Devyani style angle.</t>
        </is>
      </c>
    </row>
    <row r="26">
      <c r="A26" s="6" t="n">
        <v>22</v>
      </c>
      <c r="B26" s="6" t="inlineStr">
        <is>
          <t>Kriti Shukla</t>
        </is>
      </c>
      <c r="C26" s="6" t="inlineStr">
        <is>
          <t>Features Writer</t>
        </is>
      </c>
      <c r="D26" s="6" t="inlineStr">
        <is>
          <t>Harper's Bazaar India</t>
        </is>
      </c>
      <c r="E26" s="6" t="inlineStr">
        <is>
          <t>Fashion, beauty, luxury</t>
        </is>
      </c>
      <c r="F26" s="6" t="n"/>
      <c r="G26" s="6" t="n"/>
      <c r="H26" s="6" t="n"/>
      <c r="I26" s="6" t="inlineStr">
        <is>
          <t>New research: contact to source</t>
        </is>
      </c>
      <c r="J26" s="17" t="inlineStr">
        <is>
          <t>Verified - active 2026</t>
        </is>
      </c>
      <c r="K26" s="6" t="inlineStr">
        <is>
          <t>Recent byline: 'The beauty trends from S/S 2026...'</t>
        </is>
      </c>
      <c r="L26" s="16" t="inlineStr">
        <is>
          <t>https://muckrack.com/kriti-shukla-1</t>
        </is>
      </c>
      <c r="M26" s="6" t="inlineStr">
        <is>
          <t>Fit: Devyani luxury lifestyle.</t>
        </is>
      </c>
    </row>
    <row r="27">
      <c r="A27" s="6" t="n">
        <v>23</v>
      </c>
      <c r="B27" s="6" t="inlineStr">
        <is>
          <t>Butool Jamal</t>
        </is>
      </c>
      <c r="C27" s="6" t="inlineStr">
        <is>
          <t>Fashion Features Editor</t>
        </is>
      </c>
      <c r="D27" s="6" t="inlineStr">
        <is>
          <t>Harper's Bazaar India</t>
        </is>
      </c>
      <c r="E27" s="6" t="inlineStr">
        <is>
          <t>Fashion features</t>
        </is>
      </c>
      <c r="F27" s="6" t="n"/>
      <c r="G27" s="6" t="n"/>
      <c r="H27" s="6" t="n"/>
      <c r="I27" s="6" t="inlineStr">
        <is>
          <t>New research: contact to source</t>
        </is>
      </c>
      <c r="J27" s="15" t="inlineStr">
        <is>
          <t>Verified - current role</t>
        </is>
      </c>
      <c r="K27" s="6" t="inlineStr">
        <is>
          <t>Muck Rack profile at Harper's Bazaar India</t>
        </is>
      </c>
      <c r="L27" s="16" t="inlineStr">
        <is>
          <t>https://muckrack.com/butool-jamal/articles</t>
        </is>
      </c>
      <c r="M27" s="6" t="inlineStr">
        <is>
          <t>Fit: Devyani style angle.</t>
        </is>
      </c>
    </row>
    <row r="28">
      <c r="A28" s="6" t="n">
        <v>24</v>
      </c>
      <c r="B28" s="6" t="inlineStr">
        <is>
          <t>Deepali Dhingra</t>
        </is>
      </c>
      <c r="C28" s="6" t="inlineStr">
        <is>
          <t>Freelance writer</t>
        </is>
      </c>
      <c r="D28" s="6" t="inlineStr">
        <is>
          <t>Freelance</t>
        </is>
      </c>
      <c r="E28" s="6" t="inlineStr">
        <is>
          <t>Lifestyle and entertainment</t>
        </is>
      </c>
      <c r="F28" s="6" t="n"/>
      <c r="G28" s="6" t="n"/>
      <c r="H28" s="6" t="n"/>
      <c r="I28" s="6" t="inlineStr">
        <is>
          <t>New research: contact to source</t>
        </is>
      </c>
      <c r="J28" s="18" t="inlineStr">
        <is>
          <t>To confirm</t>
        </is>
      </c>
      <c r="K28" s="6" t="inlineStr">
        <is>
          <t>Muck Rack: freelance lifestyle and entertainment writer</t>
        </is>
      </c>
      <c r="L28" s="16" t="inlineStr">
        <is>
          <t>https://muckrack.com/deepali-singh-1</t>
        </is>
      </c>
      <c r="M28" s="6" t="inlineStr">
        <is>
          <t>Confirm outlets before pitching.</t>
        </is>
      </c>
    </row>
  </sheetData>
  <autoFilter ref="A4:M28"/>
  <dataValidations count="1">
    <dataValidation sqref="J5:J28" showDropDown="0" showInputMessage="0" showErrorMessage="0" allowBlank="1" type="list">
      <formula1>"Verified - active 2026,Verified - current role,To confirm,Moved - updated"</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8" customWidth="1" min="3" max="3"/>
    <col width="30" customWidth="1" min="4" max="4"/>
    <col width="30" customWidth="1" min="5" max="5"/>
    <col width="14" customWidth="1" min="6" max="6"/>
    <col width="16" customWidth="1" min="7" max="7"/>
    <col width="34" customWidth="1" min="8" max="8"/>
    <col width="28" customWidth="1" min="9" max="9"/>
    <col width="22" customWidth="1" min="10" max="10"/>
    <col width="50" customWidth="1" min="11" max="11"/>
    <col width="40" customWidth="1" min="12" max="12"/>
    <col width="46" customWidth="1" min="13" max="13"/>
  </cols>
  <sheetData>
    <row r="1">
      <c r="A1" s="1" t="inlineStr">
        <is>
          <t>Devyani - Celebrity &amp; Society</t>
        </is>
      </c>
    </row>
    <row r="2">
      <c r="A2" s="13" t="inlineStr">
        <is>
          <t>FOR DEVYANI JAIPURIA ONLY. Celebrity, society and entertainment editors; use only with a celebrity or society hook.</t>
        </is>
      </c>
    </row>
    <row r="4" ht="30" customHeight="1">
      <c r="A4" s="10" t="inlineStr">
        <is>
          <t>S.No</t>
        </is>
      </c>
      <c r="B4" s="10" t="inlineStr">
        <is>
          <t>Journalist Name</t>
        </is>
      </c>
      <c r="C4" s="10" t="inlineStr">
        <is>
          <t>Designation</t>
        </is>
      </c>
      <c r="D4" s="10" t="inlineStr">
        <is>
          <t>Organisation</t>
        </is>
      </c>
      <c r="E4" s="10" t="inlineStr">
        <is>
          <t>Beat / Vertical</t>
        </is>
      </c>
      <c r="F4" s="10" t="inlineStr">
        <is>
          <t>City</t>
        </is>
      </c>
      <c r="G4" s="10" t="inlineStr">
        <is>
          <t>Phone</t>
        </is>
      </c>
      <c r="H4" s="10" t="inlineStr">
        <is>
          <t>Email</t>
        </is>
      </c>
      <c r="I4" s="10" t="inlineStr">
        <is>
          <t>Contact Source (your lists)</t>
        </is>
      </c>
      <c r="J4" s="10" t="inlineStr">
        <is>
          <t>Verification Status</t>
        </is>
      </c>
      <c r="K4" s="10" t="inlineStr">
        <is>
          <t>Latest Activity Found</t>
        </is>
      </c>
      <c r="L4" s="10" t="inlineStr">
        <is>
          <t>Evidence Link</t>
        </is>
      </c>
      <c r="M4" s="10" t="inlineStr">
        <is>
          <t>Notes / Brand Fit</t>
        </is>
      </c>
    </row>
    <row r="5">
      <c r="A5" s="6" t="n">
        <v>1</v>
      </c>
      <c r="B5" s="6" t="inlineStr">
        <is>
          <t>Ruchika Mehta</t>
        </is>
      </c>
      <c r="C5" s="6" t="inlineStr">
        <is>
          <t>Editor, HELLO! India; Editor, India Today Spice and Brides Today; Editor-at-Large, Luxury and Lifestyle</t>
        </is>
      </c>
      <c r="D5" s="6" t="inlineStr">
        <is>
          <t>India Today Group</t>
        </is>
      </c>
      <c r="E5" s="6" t="inlineStr">
        <is>
          <t>Celebrity, society, luxury, weddings</t>
        </is>
      </c>
      <c r="F5" s="6" t="inlineStr">
        <is>
          <t>New Delhi</t>
        </is>
      </c>
      <c r="G5" s="6" t="inlineStr">
        <is>
          <t>9811156993</t>
        </is>
      </c>
      <c r="H5" s="6" t="inlineStr">
        <is>
          <t>ruchikamehta05@gmail.com</t>
        </is>
      </c>
      <c r="I5" s="6" t="inlineStr">
        <is>
          <t>A &amp; M Media List (Online sheet)</t>
        </is>
      </c>
      <c r="J5" s="17" t="inlineStr">
        <is>
          <t>Verified - active 2026</t>
        </is>
      </c>
      <c r="K5" s="6" t="inlineStr">
        <is>
          <t>Took additional charge as Editor, India Today Spice (2026); IWD 2026 awardee as HELLO! Editor</t>
        </is>
      </c>
      <c r="L5" s="16" t="inlineStr">
        <is>
          <t>https://www.exchange4media.com/people-movement-news/ruchika-mehta-takes-additional-charge-as-editor-of-india-today-spice-158393.html</t>
        </is>
      </c>
      <c r="M5" s="6" t="inlineStr">
        <is>
          <t>Top fit for Devyani (HELLO! home/family/art feature). Old wwm.co.in email in your list is outdated; use gmail.</t>
        </is>
      </c>
    </row>
    <row r="6">
      <c r="A6" s="6" t="n">
        <v>2</v>
      </c>
      <c r="B6" s="6" t="inlineStr">
        <is>
          <t>Sonal Kalra</t>
        </is>
      </c>
      <c r="C6" s="6" t="inlineStr">
        <is>
          <t>Chief Managing Editor, Entertainment and Lifestyle</t>
        </is>
      </c>
      <c r="D6" s="6" t="inlineStr">
        <is>
          <t>Hindustan Times (HT City)</t>
        </is>
      </c>
      <c r="E6" s="6" t="inlineStr">
        <is>
          <t>Entertainment, art, lifestyle (28 editions)</t>
        </is>
      </c>
      <c r="F6" s="6" t="inlineStr">
        <is>
          <t>New Delhi</t>
        </is>
      </c>
      <c r="G6" s="6" t="n"/>
      <c r="H6" s="6" t="n"/>
      <c r="I6" s="6" t="inlineStr">
        <is>
          <t>Not in lists</t>
        </is>
      </c>
      <c r="J6" s="17" t="inlineStr">
        <is>
          <t>Verified - active 2026</t>
        </is>
      </c>
      <c r="K6" s="6" t="inlineStr">
        <is>
          <t>Season 3 of her HT show 'The Right Angle' premiered 20 Feb 2026; weekly HT City column</t>
        </is>
      </c>
      <c r="L6" s="16" t="inlineStr">
        <is>
          <t>https://www.exchange4media.com/announcements-news/sonal-kalra-to-launch-lifestyle-entertainment-news-show-142482.html</t>
        </is>
      </c>
      <c r="M6" s="6" t="inlineStr">
        <is>
          <t>Fit: Devyani (Delhi society, HT City).</t>
        </is>
      </c>
    </row>
    <row r="7">
      <c r="A7" s="6" t="n">
        <v>3</v>
      </c>
      <c r="B7" s="6" t="inlineStr">
        <is>
          <t>Rohit Bhatnagar</t>
        </is>
      </c>
      <c r="C7" s="6" t="inlineStr">
        <is>
          <t>Entertainment Editor</t>
        </is>
      </c>
      <c r="D7" s="6" t="inlineStr">
        <is>
          <t>HT City, Delhi</t>
        </is>
      </c>
      <c r="E7" s="6" t="inlineStr">
        <is>
          <t>Celebrity interviews, entertainment</t>
        </is>
      </c>
      <c r="F7" s="6" t="inlineStr">
        <is>
          <t>New Delhi</t>
        </is>
      </c>
      <c r="G7" s="6" t="n"/>
      <c r="H7" s="6" t="n"/>
      <c r="I7" s="6" t="inlineStr">
        <is>
          <t>Not in lists</t>
        </is>
      </c>
      <c r="J7" s="15" t="inlineStr">
        <is>
          <t>Verified - current role</t>
        </is>
      </c>
      <c r="K7" s="6" t="inlineStr">
        <is>
          <t>Appointed Entertainment Editor, HT City Delhi (Aug 2025)</t>
        </is>
      </c>
      <c r="L7" s="16" t="inlineStr">
        <is>
          <t>https://www.exchange4media.com/people-movement-news/ht-city-delhi-appoints-rohit-bhatnagar-as-entertainment-editor-146845.html</t>
        </is>
      </c>
      <c r="M7" s="6" t="inlineStr">
        <is>
          <t>Fit: Devyani only with a celebrity hook (celebrity guests at her events).</t>
        </is>
      </c>
    </row>
    <row r="8">
      <c r="A8" s="6" t="n">
        <v>4</v>
      </c>
      <c r="B8" s="6" t="inlineStr">
        <is>
          <t>Sneha Menon Desai</t>
        </is>
      </c>
      <c r="C8" s="6" t="inlineStr">
        <is>
          <t>Editor (from 1 Oct 2026)</t>
        </is>
      </c>
      <c r="D8" s="6" t="inlineStr">
        <is>
          <t>The Hollywood Reporter India</t>
        </is>
      </c>
      <c r="E8" s="6" t="inlineStr">
        <is>
          <t>Film, celebrity, entertainment business</t>
        </is>
      </c>
      <c r="F8" s="6" t="inlineStr">
        <is>
          <t>Mumbai</t>
        </is>
      </c>
      <c r="G8" s="6" t="n"/>
      <c r="H8" s="6" t="n"/>
      <c r="I8" s="6" t="inlineStr">
        <is>
          <t>Not in lists</t>
        </is>
      </c>
      <c r="J8" s="17" t="inlineStr">
        <is>
          <t>Verified - active 2026</t>
        </is>
      </c>
      <c r="K8" s="6" t="inlineStr">
        <is>
          <t>Appointed Editor effective 1 Oct 2026, succeeding Anupama Chopra</t>
        </is>
      </c>
      <c r="L8" s="16" t="inlineStr">
        <is>
          <t>https://www.exchange4media.com/people-movement-news/sneha-menon-desai-appointed-editor-of-the-hollywood-reporter-india-158673.html</t>
        </is>
      </c>
      <c r="M8" s="6" t="inlineStr">
        <is>
          <t>Fit: Devyani only with a film or celebrity hook.</t>
        </is>
      </c>
    </row>
    <row r="9">
      <c r="A9" s="6" t="n">
        <v>5</v>
      </c>
      <c r="B9" s="6" t="inlineStr">
        <is>
          <t>Madhureeta Mukherjee</t>
        </is>
      </c>
      <c r="C9" s="6" t="inlineStr">
        <is>
          <t>Editor</t>
        </is>
      </c>
      <c r="D9" s="6" t="inlineStr">
        <is>
          <t>Bombay Times (The Times of India)</t>
        </is>
      </c>
      <c r="E9" s="6" t="inlineStr">
        <is>
          <t>Celebrity, society, entertainment</t>
        </is>
      </c>
      <c r="F9" s="6" t="inlineStr">
        <is>
          <t>Mumbai</t>
        </is>
      </c>
      <c r="G9" s="6" t="n"/>
      <c r="H9" s="6" t="n"/>
      <c r="I9" s="6" t="inlineStr">
        <is>
          <t>Not in lists</t>
        </is>
      </c>
      <c r="J9" s="18" t="inlineStr">
        <is>
          <t>To confirm</t>
        </is>
      </c>
      <c r="K9" s="6" t="inlineStr">
        <is>
          <t>Quoted as Bombay Times editor (Dec 2024); no 2026 evidence found</t>
        </is>
      </c>
      <c r="L9" s="16" t="inlineStr">
        <is>
          <t>https://www.exchange4media.com/media-print-news/bombay-times-and-mumbais-symphony-a-30-year-partnership-139634.html</t>
        </is>
      </c>
      <c r="M9" s="6" t="inlineStr">
        <is>
          <t>Fit: Devyani society coverage if Mumbai events; confirm before use.</t>
        </is>
      </c>
    </row>
    <row r="10">
      <c r="A10" s="6" t="n">
        <v>6</v>
      </c>
      <c r="B10" s="6" t="inlineStr">
        <is>
          <t>Gajendra Singh Bhati</t>
        </is>
      </c>
      <c r="C10" s="6" t="inlineStr">
        <is>
          <t>Entertainment Editor</t>
        </is>
      </c>
      <c r="D10" s="6" t="inlineStr">
        <is>
          <t>The Indian Express (Hindi)</t>
        </is>
      </c>
      <c r="E10" s="6" t="inlineStr">
        <is>
          <t>Entertainment, celebrity</t>
        </is>
      </c>
      <c r="F10" s="6" t="inlineStr">
        <is>
          <t>Noida</t>
        </is>
      </c>
      <c r="G10" s="6" t="n"/>
      <c r="H10" s="6" t="n"/>
      <c r="I10" s="6" t="inlineStr">
        <is>
          <t>Not in lists</t>
        </is>
      </c>
      <c r="J10" s="15" t="inlineStr">
        <is>
          <t>Verified - current role</t>
        </is>
      </c>
      <c r="K10" s="6" t="inlineStr">
        <is>
          <t>Joined Indian Express (Hindi) as Entertainment Editor after a decade at The Lallantop</t>
        </is>
      </c>
      <c r="L10" s="16" t="inlineStr">
        <is>
          <t>https://www.exchange4media.com/people-movement-news/gajendra-singh-bhati-joins-the-indian-express-hindi-as-entertainment-editor-154435.html</t>
        </is>
      </c>
      <c r="M10" s="6" t="inlineStr">
        <is>
          <t>Fit: Devyani only with a celebrity hook (Hindi reach).</t>
        </is>
      </c>
    </row>
    <row r="11">
      <c r="A11" s="6" t="n">
        <v>7</v>
      </c>
      <c r="B11" s="6" t="inlineStr">
        <is>
          <t>Anindita Mukhopadhyay</t>
        </is>
      </c>
      <c r="C11" s="6" t="inlineStr">
        <is>
          <t>Chief Sub-Editor, leads Entertainment team</t>
        </is>
      </c>
      <c r="D11" s="6" t="inlineStr">
        <is>
          <t>India TV News</t>
        </is>
      </c>
      <c r="E11" s="6" t="inlineStr">
        <is>
          <t>Celebrity, entertainment</t>
        </is>
      </c>
      <c r="F11" s="6" t="inlineStr">
        <is>
          <t>Noida</t>
        </is>
      </c>
      <c r="G11" s="6" t="n"/>
      <c r="H11" s="6" t="n"/>
      <c r="I11" s="6" t="inlineStr">
        <is>
          <t>Not in lists</t>
        </is>
      </c>
      <c r="J11" s="15" t="inlineStr">
        <is>
          <t>Verified - current role</t>
        </is>
      </c>
      <c r="K11" s="6" t="inlineStr">
        <is>
          <t>India TV author page lists her as leading the entertainment team</t>
        </is>
      </c>
      <c r="L11" s="16" t="inlineStr">
        <is>
          <t>https://www.indiatvnews.com/author/anindita-mukhopadhyay/15</t>
        </is>
      </c>
      <c r="M11" s="6" t="inlineStr">
        <is>
          <t>Fit: Devyani only with a celebrity hook (digital).</t>
        </is>
      </c>
    </row>
    <row r="12">
      <c r="A12" s="6" t="n">
        <v>8</v>
      </c>
      <c r="B12" s="6" t="inlineStr">
        <is>
          <t>Mayank Shekhar</t>
        </is>
      </c>
      <c r="C12" s="6" t="inlineStr">
        <is>
          <t>Editorial Head, Entertainment; film critic</t>
        </is>
      </c>
      <c r="D12" s="6" t="inlineStr">
        <is>
          <t>Mid-day</t>
        </is>
      </c>
      <c r="E12" s="6" t="inlineStr">
        <is>
          <t>Film, celebrity, culture</t>
        </is>
      </c>
      <c r="F12" s="6" t="inlineStr">
        <is>
          <t>Mumbai</t>
        </is>
      </c>
      <c r="G12" s="6" t="n"/>
      <c r="H12" s="6" t="n"/>
      <c r="I12" s="6" t="inlineStr">
        <is>
          <t>New research: contact to source</t>
        </is>
      </c>
      <c r="J12" s="15" t="inlineStr">
        <is>
          <t>Verified - current role</t>
        </is>
      </c>
      <c r="K12" s="6" t="inlineStr">
        <is>
          <t>Editorial head of Mid-day entertainment; hosts 'Sit with Hitlist'</t>
        </is>
      </c>
      <c r="L12" s="16" t="inlineStr">
        <is>
          <t>https://www.exchange4media.com/media-print-news/mayank-shekhar-joins-mid-day-as-entertainment-head-65607.html</t>
        </is>
      </c>
      <c r="M12" s="6" t="inlineStr">
        <is>
          <t>Fit: Devyani only with a film or celebrity hook.</t>
        </is>
      </c>
    </row>
    <row r="13">
      <c r="A13" s="6" t="n">
        <v>9</v>
      </c>
      <c r="B13" s="6" t="inlineStr">
        <is>
          <t>Nupur Sarvaiya</t>
        </is>
      </c>
      <c r="C13" s="6" t="inlineStr">
        <is>
          <t>Weddings Editor</t>
        </is>
      </c>
      <c r="D13" s="6" t="inlineStr">
        <is>
          <t>Vogue India</t>
        </is>
      </c>
      <c r="E13" s="6" t="inlineStr">
        <is>
          <t>Celebrity and society weddings</t>
        </is>
      </c>
      <c r="F13" s="6" t="inlineStr">
        <is>
          <t>Mumbai</t>
        </is>
      </c>
      <c r="G13" s="6" t="n"/>
      <c r="H13" s="6" t="n"/>
      <c r="I13" s="6" t="inlineStr">
        <is>
          <t>New research: contact to source</t>
        </is>
      </c>
      <c r="J13" s="15" t="inlineStr">
        <is>
          <t>Verified - current role</t>
        </is>
      </c>
      <c r="K13" s="6" t="inlineStr">
        <is>
          <t>Listed on Vogue India's Muck Rack page</t>
        </is>
      </c>
      <c r="L13" s="16" t="inlineStr">
        <is>
          <t>https://muckrack.com/nupur-sarvaiya/articles</t>
        </is>
      </c>
      <c r="M13" s="6" t="inlineStr">
        <is>
          <t>Fit: Devyani family or society events, only if cleared.</t>
        </is>
      </c>
    </row>
  </sheetData>
  <autoFilter ref="A4:M13"/>
  <dataValidations count="1">
    <dataValidation sqref="J5:J13" showDropDown="0" showInputMessage="0" showErrorMessage="0" allowBlank="1" type="list">
      <formula1>"Verified - active 2026,Verified - current role,To confirm,Moved - updated"</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8" customWidth="1" min="3" max="3"/>
    <col width="30" customWidth="1" min="4" max="4"/>
    <col width="30" customWidth="1" min="5" max="5"/>
    <col width="14" customWidth="1" min="6" max="6"/>
    <col width="16" customWidth="1" min="7" max="7"/>
    <col width="34" customWidth="1" min="8" max="8"/>
    <col width="28" customWidth="1" min="9" max="9"/>
    <col width="22" customWidth="1" min="10" max="10"/>
    <col width="50" customWidth="1" min="11" max="11"/>
    <col width="40" customWidth="1" min="12" max="12"/>
    <col width="46" customWidth="1" min="13" max="13"/>
  </cols>
  <sheetData>
    <row r="1">
      <c r="A1" s="1" t="inlineStr">
        <is>
          <t>Devyani - Luxury, Art, Biz</t>
        </is>
      </c>
    </row>
    <row r="2">
      <c r="A2" s="13" t="inlineStr">
        <is>
          <t>FOR DEVYANI JAIPURIA ONLY. Other outlets that suit Devyani: luxury, art-collector, home and business-profile writers.</t>
        </is>
      </c>
    </row>
    <row r="4" ht="30" customHeight="1">
      <c r="A4" s="10" t="inlineStr">
        <is>
          <t>S.No</t>
        </is>
      </c>
      <c r="B4" s="10" t="inlineStr">
        <is>
          <t>Journalist Name</t>
        </is>
      </c>
      <c r="C4" s="10" t="inlineStr">
        <is>
          <t>Designation</t>
        </is>
      </c>
      <c r="D4" s="10" t="inlineStr">
        <is>
          <t>Organisation</t>
        </is>
      </c>
      <c r="E4" s="10" t="inlineStr">
        <is>
          <t>Beat / Vertical</t>
        </is>
      </c>
      <c r="F4" s="10" t="inlineStr">
        <is>
          <t>City</t>
        </is>
      </c>
      <c r="G4" s="10" t="inlineStr">
        <is>
          <t>Phone</t>
        </is>
      </c>
      <c r="H4" s="10" t="inlineStr">
        <is>
          <t>Email</t>
        </is>
      </c>
      <c r="I4" s="10" t="inlineStr">
        <is>
          <t>Contact Source (your lists)</t>
        </is>
      </c>
      <c r="J4" s="10" t="inlineStr">
        <is>
          <t>Verification Status</t>
        </is>
      </c>
      <c r="K4" s="10" t="inlineStr">
        <is>
          <t>Latest Activity Found</t>
        </is>
      </c>
      <c r="L4" s="10" t="inlineStr">
        <is>
          <t>Evidence Link</t>
        </is>
      </c>
      <c r="M4" s="10" t="inlineStr">
        <is>
          <t>Notes / Brand Fit</t>
        </is>
      </c>
    </row>
    <row r="5">
      <c r="A5" s="6" t="n">
        <v>1</v>
      </c>
      <c r="B5" s="6" t="inlineStr">
        <is>
          <t>Pankti Mehta Kadakia</t>
        </is>
      </c>
      <c r="C5" s="6" t="inlineStr">
        <is>
          <t>Deputy Editor</t>
        </is>
      </c>
      <c r="D5" s="6" t="inlineStr">
        <is>
          <t>Forbes India</t>
        </is>
      </c>
      <c r="E5" s="6" t="inlineStr">
        <is>
          <t>Luxury, hospitality, culture, education</t>
        </is>
      </c>
      <c r="F5" s="6" t="inlineStr">
        <is>
          <t>Mumbai</t>
        </is>
      </c>
      <c r="G5" s="6" t="inlineStr">
        <is>
          <t>9820741823</t>
        </is>
      </c>
      <c r="H5" s="6" t="inlineStr">
        <is>
          <t>pankti.mehta@nw18.com; pankti.mehta@gmail.com</t>
        </is>
      </c>
      <c r="I5" s="6" t="inlineStr">
        <is>
          <t>A &amp; M Media List; Education Media List</t>
        </is>
      </c>
      <c r="J5" s="17" t="inlineStr">
        <is>
          <t>Verified - active 2026</t>
        </is>
      </c>
      <c r="K5" s="6" t="inlineStr">
        <is>
          <t>2026 Forbes India bylines incl. AI and education; involved in 30 Under 30 2026</t>
        </is>
      </c>
      <c r="L5" s="16" t="inlineStr">
        <is>
          <t>https://www.forbesindia.com/author/pankti-mehta-kadakia/5205</t>
        </is>
      </c>
      <c r="M5" s="6" t="inlineStr">
        <is>
          <t>Fit: Devyani business profile; also DHS (education interest).</t>
        </is>
      </c>
    </row>
    <row r="6">
      <c r="A6" s="6" t="n">
        <v>2</v>
      </c>
      <c r="B6" s="6" t="inlineStr">
        <is>
          <t>Aindrila Mitra</t>
        </is>
      </c>
      <c r="C6" s="6" t="inlineStr">
        <is>
          <t>Editor</t>
        </is>
      </c>
      <c r="D6" s="6" t="inlineStr">
        <is>
          <t>Robb Report India (RPSG Lifestyle Media)</t>
        </is>
      </c>
      <c r="E6" s="6" t="inlineStr">
        <is>
          <t>Luxury, collectors, lifestyle</t>
        </is>
      </c>
      <c r="F6" s="6" t="inlineStr">
        <is>
          <t>Kolkata/Mumbai</t>
        </is>
      </c>
      <c r="G6" s="6" t="n"/>
      <c r="H6" s="6" t="n"/>
      <c r="I6" s="6" t="inlineStr">
        <is>
          <t>Not in lists</t>
        </is>
      </c>
      <c r="J6" s="17" t="inlineStr">
        <is>
          <t>Verified - active 2026</t>
        </is>
      </c>
      <c r="K6" s="6" t="inlineStr">
        <is>
          <t>Led Robb Report India first anniversary 'Chapter One: The Circle of Influence' (23-24 Aug 2026)</t>
        </is>
      </c>
      <c r="L6" s="16" t="inlineStr">
        <is>
          <t>https://www.esquireindia.co.in/food-and-drinks/what-to-eat/robb-report-india-turns-one-with-chapter-one-the-circle-of-influence-at-fairmont-udaipur-palace</t>
        </is>
      </c>
      <c r="M6" s="6" t="inlineStr">
        <is>
          <t>Fit: Devyani (art collection, luxury profile).</t>
        </is>
      </c>
    </row>
    <row r="7">
      <c r="A7" s="6" t="n">
        <v>3</v>
      </c>
      <c r="B7" s="6" t="inlineStr">
        <is>
          <t>Shradha Shahani</t>
        </is>
      </c>
      <c r="C7" s="6" t="inlineStr">
        <is>
          <t>Managing Editor</t>
        </is>
      </c>
      <c r="D7" s="6" t="inlineStr">
        <is>
          <t>Robb Report India</t>
        </is>
      </c>
      <c r="E7" s="6" t="inlineStr">
        <is>
          <t>Luxury lifestyle</t>
        </is>
      </c>
      <c r="F7" s="6" t="inlineStr">
        <is>
          <t>Mumbai</t>
        </is>
      </c>
      <c r="G7" s="6" t="n"/>
      <c r="H7" s="6" t="n"/>
      <c r="I7" s="6" t="inlineStr">
        <is>
          <t>Not in lists</t>
        </is>
      </c>
      <c r="J7" s="15" t="inlineStr">
        <is>
          <t>Verified - current role</t>
        </is>
      </c>
      <c r="K7" s="6" t="inlineStr">
        <is>
          <t>Appointed Managing Editor, Robb Report India</t>
        </is>
      </c>
      <c r="L7" s="16" t="inlineStr">
        <is>
          <t>https://www.exchange4media.com/people-movement-news/robb-report-india-appoints-shradha-shahani-as-managing-editor-145291.html</t>
        </is>
      </c>
      <c r="M7" s="6" t="inlineStr">
        <is>
          <t>Same outlet as above.</t>
        </is>
      </c>
    </row>
    <row r="8">
      <c r="A8" s="6" t="n">
        <v>4</v>
      </c>
      <c r="B8" s="6" t="inlineStr">
        <is>
          <t>Avantika Bhuyan</t>
        </is>
      </c>
      <c r="C8" s="6" t="inlineStr">
        <is>
          <t>Senior writer, art and culture (designation to confirm)</t>
        </is>
      </c>
      <c r="D8" s="6" t="inlineStr">
        <is>
          <t>Mint Lounge</t>
        </is>
      </c>
      <c r="E8" s="6" t="inlineStr">
        <is>
          <t>Contemporary art, design, culture</t>
        </is>
      </c>
      <c r="F8" s="6" t="inlineStr">
        <is>
          <t>New Delhi</t>
        </is>
      </c>
      <c r="G8" s="6" t="inlineStr">
        <is>
          <t>09873631002</t>
        </is>
      </c>
      <c r="H8" s="6" t="inlineStr">
        <is>
          <t>avantika.b@livemint.com; bhuyan.avantika@gmail.com</t>
        </is>
      </c>
      <c r="I8" s="6" t="inlineStr">
        <is>
          <t>Media List.xlsx (Financials sheet)</t>
        </is>
      </c>
      <c r="J8" s="15" t="inlineStr">
        <is>
          <t>Verified - current role</t>
        </is>
      </c>
      <c r="K8" s="6" t="inlineStr">
        <is>
          <t>Recent Mint Lounge art pieces (auto-narrative art, Sri Lankan artists, Sunder Nursery pavilion)</t>
        </is>
      </c>
      <c r="L8" s="16" t="inlineStr">
        <is>
          <t>https://muckrack.com/avantika-bhuyan/articles</t>
        </is>
      </c>
      <c r="M8" s="6" t="inlineStr">
        <is>
          <t>Top fit: Devyani art-collector story in Mint Lounge (named target in brief).</t>
        </is>
      </c>
    </row>
    <row r="9">
      <c r="A9" s="6" t="n">
        <v>5</v>
      </c>
      <c r="B9" s="6" t="inlineStr">
        <is>
          <t>Akshaya Pillai</t>
        </is>
      </c>
      <c r="C9" s="6" t="inlineStr">
        <is>
          <t>Writer, culture and art</t>
        </is>
      </c>
      <c r="D9" s="6" t="inlineStr">
        <is>
          <t>Harper's Bazaar India</t>
        </is>
      </c>
      <c r="E9" s="6" t="inlineStr">
        <is>
          <t>Art, collectors, biennales</t>
        </is>
      </c>
      <c r="F9" s="6" t="n"/>
      <c r="G9" s="6" t="n"/>
      <c r="H9" s="6" t="n"/>
      <c r="I9" s="6" t="inlineStr">
        <is>
          <t>Not in lists</t>
        </is>
      </c>
      <c r="J9" s="17" t="inlineStr">
        <is>
          <t>Verified - active 2026</t>
        </is>
      </c>
      <c r="K9" s="6" t="inlineStr">
        <is>
          <t>Byline: 'Inside the minds of India's next-generation art collectors' (22 Jan 2026)</t>
        </is>
      </c>
      <c r="L9" s="16" t="inlineStr">
        <is>
          <t>https://www.harpersbazaar.in/authors/akshaya-pillai</t>
        </is>
      </c>
      <c r="M9" s="6" t="inlineStr">
        <is>
          <t>Top fit: Devyani as an art collector.</t>
        </is>
      </c>
    </row>
    <row r="10">
      <c r="A10" s="6" t="n">
        <v>6</v>
      </c>
      <c r="B10" s="6" t="inlineStr">
        <is>
          <t>Dhamini Ratnam</t>
        </is>
      </c>
      <c r="C10" s="6" t="inlineStr">
        <is>
          <t>Journalist, art and culture</t>
        </is>
      </c>
      <c r="D10" s="6" t="inlineStr">
        <is>
          <t>Hindustan Times</t>
        </is>
      </c>
      <c r="E10" s="6" t="inlineStr">
        <is>
          <t>Art, culture</t>
        </is>
      </c>
      <c r="F10" s="6" t="inlineStr">
        <is>
          <t>New Delhi</t>
        </is>
      </c>
      <c r="G10" s="6" t="n"/>
      <c r="H10" s="6" t="n"/>
      <c r="I10" s="6" t="inlineStr">
        <is>
          <t>Not in lists</t>
        </is>
      </c>
      <c r="J10" s="17" t="inlineStr">
        <is>
          <t>Verified - active 2026</t>
        </is>
      </c>
      <c r="K10" s="6" t="inlineStr">
        <is>
          <t>Covered India Art Fair 2026 (HT, 4 Feb 2026)</t>
        </is>
      </c>
      <c r="L10" s="16" t="inlineStr">
        <is>
          <t>https://www.pressreader.com/india/hindustan-times-st-noida/20260204/281767045655792</t>
        </is>
      </c>
      <c r="M10" s="6" t="inlineStr">
        <is>
          <t>Fit: Devyani at India Art Fair or collection features.</t>
        </is>
      </c>
    </row>
    <row r="11">
      <c r="A11" s="6" t="n">
        <v>7</v>
      </c>
      <c r="B11" s="6" t="inlineStr">
        <is>
          <t>Deboshri Bera</t>
        </is>
      </c>
      <c r="C11" s="6" t="inlineStr">
        <is>
          <t>Strategist (Art)</t>
        </is>
      </c>
      <c r="D11" s="6" t="inlineStr">
        <is>
          <t>Vogue India</t>
        </is>
      </c>
      <c r="E11" s="6" t="inlineStr">
        <is>
          <t>Art</t>
        </is>
      </c>
      <c r="F11" s="6" t="inlineStr">
        <is>
          <t>Mumbai</t>
        </is>
      </c>
      <c r="G11" s="6" t="n"/>
      <c r="H11" s="6" t="n"/>
      <c r="I11" s="6" t="inlineStr">
        <is>
          <t>Not in lists</t>
        </is>
      </c>
      <c r="J11" s="17" t="inlineStr">
        <is>
          <t>Verified - active 2026</t>
        </is>
      </c>
      <c r="K11" s="6" t="inlineStr">
        <is>
          <t>Credited as Strategist (Art) in Vogue India Jan-Feb 2026 issue</t>
        </is>
      </c>
      <c r="L11" s="16" t="inlineStr">
        <is>
          <t>https://www.scribd.com/document/977838070/Vogue-India-January-February-2026</t>
        </is>
      </c>
      <c r="M11" s="6" t="inlineStr">
        <is>
          <t>Fit: Devyani art angle with Vogue.</t>
        </is>
      </c>
    </row>
    <row r="12">
      <c r="A12" s="6" t="n">
        <v>8</v>
      </c>
      <c r="B12" s="6" t="inlineStr">
        <is>
          <t>Bandana Tewari</t>
        </is>
      </c>
      <c r="C12" s="6" t="inlineStr">
        <is>
          <t>Freelance writer (former Vogue India Editor-at-Large)</t>
        </is>
      </c>
      <c r="D12" s="6" t="inlineStr">
        <is>
          <t>Architectural Digest India, Business of Fashion, NYT</t>
        </is>
      </c>
      <c r="E12" s="6" t="inlineStr">
        <is>
          <t>Art, craft, homes, fashion</t>
        </is>
      </c>
      <c r="F12" s="6" t="n"/>
      <c r="G12" s="6" t="n"/>
      <c r="H12" s="6" t="n"/>
      <c r="I12" s="6" t="inlineStr">
        <is>
          <t>Not in lists</t>
        </is>
      </c>
      <c r="J12" s="17" t="inlineStr">
        <is>
          <t>Verified - active 2026</t>
        </is>
      </c>
      <c r="K12" s="6" t="inlineStr">
        <is>
          <t>Wrote AD India's Jul-Aug 2026 cover story (Rajeev Sethi home-studio, Delhi)</t>
        </is>
      </c>
      <c r="L12" s="16" t="inlineStr">
        <is>
          <t>https://www.zinio.com/in/publications/architectural-digest-india/5361</t>
        </is>
      </c>
      <c r="M12" s="6" t="inlineStr">
        <is>
          <t>Fit: Devyani home-and-art-collection feature (AD India).</t>
        </is>
      </c>
    </row>
    <row r="13">
      <c r="A13" s="6" t="n">
        <v>9</v>
      </c>
      <c r="B13" s="6" t="inlineStr">
        <is>
          <t>Shrabonti Bagchi</t>
        </is>
      </c>
      <c r="C13" s="6" t="inlineStr">
        <is>
          <t>Independent writer (left Mint Lounge, Mar 2026)</t>
        </is>
      </c>
      <c r="D13" s="6" t="inlineStr">
        <is>
          <t>Freelance</t>
        </is>
      </c>
      <c r="E13" s="6" t="inlineStr">
        <is>
          <t>Features, culture, profiles</t>
        </is>
      </c>
      <c r="F13" s="6" t="inlineStr">
        <is>
          <t>Bengaluru (to confirm)</t>
        </is>
      </c>
      <c r="G13" s="6" t="n"/>
      <c r="H13" s="6" t="n"/>
      <c r="I13" s="6" t="inlineStr">
        <is>
          <t>Not in lists</t>
        </is>
      </c>
      <c r="J13" s="24" t="inlineStr">
        <is>
          <t>Moved - updated</t>
        </is>
      </c>
      <c r="K13" s="6" t="inlineStr">
        <is>
          <t>Last day at Mint as National Features Editor on 9 Mar 2026; now writing independently</t>
        </is>
      </c>
      <c r="L13" s="16" t="inlineStr">
        <is>
          <t>https://x.com/Shrabonti/status/2030894494447710494</t>
        </is>
      </c>
      <c r="M13" s="6" t="inlineStr">
        <is>
          <t>Possible freelance commission for a long-form profile.</t>
        </is>
      </c>
    </row>
    <row r="14">
      <c r="A14" s="6" t="n">
        <v>10</v>
      </c>
      <c r="B14" s="6" t="inlineStr">
        <is>
          <t>Suveen Sinha</t>
        </is>
      </c>
      <c r="C14" s="6" t="inlineStr">
        <is>
          <t>Editor</t>
        </is>
      </c>
      <c r="D14" s="6" t="inlineStr">
        <is>
          <t>Forbes India</t>
        </is>
      </c>
      <c r="E14" s="6" t="inlineStr">
        <is>
          <t>Business</t>
        </is>
      </c>
      <c r="F14" s="6" t="inlineStr">
        <is>
          <t>Mumbai</t>
        </is>
      </c>
      <c r="G14" s="6" t="n"/>
      <c r="H14" s="6" t="n"/>
      <c r="I14" s="6" t="inlineStr">
        <is>
          <t>Not in lists</t>
        </is>
      </c>
      <c r="J14" s="15" t="inlineStr">
        <is>
          <t>Verified - current role</t>
        </is>
      </c>
      <c r="K14" s="6" t="inlineStr">
        <is>
          <t>Forbes India editor; byline on W-Power series coverage</t>
        </is>
      </c>
      <c r="L14" s="16" t="inlineStr">
        <is>
          <t>https://muckrack.com/suveen-sinha/articles</t>
        </is>
      </c>
      <c r="M14" s="6" t="inlineStr">
        <is>
          <t>Forbes India W-Power 2026 list is a reference point for Devyani's business track.</t>
        </is>
      </c>
    </row>
    <row r="15">
      <c r="A15" s="6" t="n">
        <v>11</v>
      </c>
      <c r="B15" s="6" t="inlineStr">
        <is>
          <t>Ela Das</t>
        </is>
      </c>
      <c r="C15" s="6" t="inlineStr">
        <is>
          <t>Editor</t>
        </is>
      </c>
      <c r="D15" s="6" t="inlineStr">
        <is>
          <t>Elle Decor India</t>
        </is>
      </c>
      <c r="E15" s="6" t="inlineStr">
        <is>
          <t>Design, homes, art</t>
        </is>
      </c>
      <c r="F15" s="6" t="n"/>
      <c r="G15" s="6" t="n"/>
      <c r="H15" s="6" t="n"/>
      <c r="I15" s="6" t="inlineStr">
        <is>
          <t>New research: contact to source</t>
        </is>
      </c>
      <c r="J15" s="17" t="inlineStr">
        <is>
          <t>Verified - active 2026</t>
        </is>
      </c>
      <c r="K15" s="6" t="inlineStr">
        <is>
          <t>Appointed Editor, Elle Decor India (24 Sep 2026); founding Digital Editor of AD India</t>
        </is>
      </c>
      <c r="L15" s="16" t="inlineStr">
        <is>
          <t>https://www.exchange4media.com/people-movement-news/elle-decor-india-appoints-ela-das-as-editor-158560.html</t>
        </is>
      </c>
      <c r="M15" s="6" t="inlineStr">
        <is>
          <t>Strong fit: Devyani home and art-collection feature.</t>
        </is>
      </c>
    </row>
    <row r="16">
      <c r="A16" s="6" t="n">
        <v>12</v>
      </c>
      <c r="B16" s="6" t="inlineStr">
        <is>
          <t>Naini Thaker</t>
        </is>
      </c>
      <c r="C16" s="6" t="inlineStr">
        <is>
          <t>Journalist</t>
        </is>
      </c>
      <c r="D16" s="6" t="inlineStr">
        <is>
          <t>Forbes India</t>
        </is>
      </c>
      <c r="E16" s="6" t="inlineStr">
        <is>
          <t>Business, women leaders</t>
        </is>
      </c>
      <c r="F16" s="6" t="inlineStr">
        <is>
          <t>Mumbai</t>
        </is>
      </c>
      <c r="G16" s="6" t="n"/>
      <c r="H16" s="6" t="n"/>
      <c r="I16" s="6" t="inlineStr">
        <is>
          <t>New research: contact to source</t>
        </is>
      </c>
      <c r="J16" s="15" t="inlineStr">
        <is>
          <t>Verified - current role</t>
        </is>
      </c>
      <c r="K16" s="6" t="inlineStr">
        <is>
          <t>Muck Rack: Forbes India articles</t>
        </is>
      </c>
      <c r="L16" s="16" t="inlineStr">
        <is>
          <t>https://muckrack.com/naini-thaker/articles</t>
        </is>
      </c>
      <c r="M16" s="6" t="inlineStr">
        <is>
          <t>Fit: Devyani business track (W-Power style coverage).</t>
        </is>
      </c>
    </row>
    <row r="17">
      <c r="A17" s="6" t="n">
        <v>13</v>
      </c>
      <c r="B17" s="6" t="inlineStr">
        <is>
          <t>Gayatri Sinha</t>
        </is>
      </c>
      <c r="C17" s="6" t="inlineStr">
        <is>
          <t>Art critic and curator</t>
        </is>
      </c>
      <c r="D17" s="6" t="inlineStr">
        <is>
          <t>Independent (wrote for The Hindu, Indian Express, The Telegraph)</t>
        </is>
      </c>
      <c r="E17" s="6" t="inlineStr">
        <is>
          <t>Contemporary Indian art</t>
        </is>
      </c>
      <c r="F17" s="6" t="inlineStr">
        <is>
          <t>New Delhi</t>
        </is>
      </c>
      <c r="G17" s="6" t="n"/>
      <c r="H17" s="6" t="n"/>
      <c r="I17" s="6" t="inlineStr">
        <is>
          <t>New research: contact to source</t>
        </is>
      </c>
      <c r="J17" s="18" t="inlineStr">
        <is>
          <t>To confirm</t>
        </is>
      </c>
      <c r="K17" s="6" t="inlineStr">
        <is>
          <t>Established Delhi art critic; current outlet to confirm</t>
        </is>
      </c>
      <c r="L17" s="16" t="inlineStr">
        <is>
          <t>https://en.wikipedia.org/wiki/Gayatri_Sinha</t>
        </is>
      </c>
      <c r="M17" s="6" t="inlineStr">
        <is>
          <t>Fit: Devyani art collection (critical voice, not staff).</t>
        </is>
      </c>
    </row>
    <row r="18">
      <c r="A18" s="6" t="n">
        <v>14</v>
      </c>
      <c r="B18" s="6" t="inlineStr">
        <is>
          <t>Johny ML</t>
        </is>
      </c>
      <c r="C18" s="6" t="inlineStr">
        <is>
          <t>Cultural critic, curator and writer</t>
        </is>
      </c>
      <c r="D18" s="6" t="inlineStr">
        <is>
          <t>Independent</t>
        </is>
      </c>
      <c r="E18" s="6" t="inlineStr">
        <is>
          <t>Art, culture</t>
        </is>
      </c>
      <c r="F18" s="6" t="inlineStr">
        <is>
          <t>New Delhi</t>
        </is>
      </c>
      <c r="G18" s="6" t="n"/>
      <c r="H18" s="6" t="n"/>
      <c r="I18" s="6" t="inlineStr">
        <is>
          <t>New research: contact to source</t>
        </is>
      </c>
      <c r="J18" s="18" t="inlineStr">
        <is>
          <t>To confirm</t>
        </is>
      </c>
      <c r="K18" s="6" t="inlineStr">
        <is>
          <t>Delhi-based art critic; current outlet to confirm</t>
        </is>
      </c>
      <c r="L18" s="16" t="inlineStr">
        <is>
          <t>https://en.wikipedia.org/wiki/Johny_ML</t>
        </is>
      </c>
      <c r="M18" s="6" t="inlineStr">
        <is>
          <t>Fit: Devyani art angle (columns, art press).</t>
        </is>
      </c>
    </row>
  </sheetData>
  <autoFilter ref="A4:M18"/>
  <dataValidations count="1">
    <dataValidation sqref="J5:J18" showDropDown="0" showInputMessage="0" showErrorMessage="0" allowBlank="1" type="list">
      <formula1>"Verified - active 2026,Verified - current role,To confirm,Moved - updated"</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8" customWidth="1" min="3" max="3"/>
    <col width="30" customWidth="1" min="4" max="4"/>
    <col width="30" customWidth="1" min="5" max="5"/>
    <col width="14" customWidth="1" min="6" max="6"/>
    <col width="16" customWidth="1" min="7" max="7"/>
    <col width="34" customWidth="1" min="8" max="8"/>
    <col width="28" customWidth="1" min="9" max="9"/>
    <col width="22" customWidth="1" min="10" max="10"/>
    <col width="50" customWidth="1" min="11" max="11"/>
    <col width="40" customWidth="1" min="12" max="12"/>
    <col width="46" customWidth="1" min="13" max="13"/>
  </cols>
  <sheetData>
    <row r="1">
      <c r="A1" s="1" t="inlineStr">
        <is>
          <t>DHS - Delhi NCR Education</t>
        </is>
      </c>
    </row>
    <row r="2">
      <c r="A2" s="13" t="inlineStr">
        <is>
          <t>Delhi NCR education journalists for Dharav High School, Gurugram (admissions season from October).</t>
        </is>
      </c>
    </row>
    <row r="4" ht="30" customHeight="1">
      <c r="A4" s="10" t="inlineStr">
        <is>
          <t>S.No</t>
        </is>
      </c>
      <c r="B4" s="10" t="inlineStr">
        <is>
          <t>Journalist Name</t>
        </is>
      </c>
      <c r="C4" s="10" t="inlineStr">
        <is>
          <t>Designation</t>
        </is>
      </c>
      <c r="D4" s="10" t="inlineStr">
        <is>
          <t>Organisation</t>
        </is>
      </c>
      <c r="E4" s="10" t="inlineStr">
        <is>
          <t>Beat / Vertical</t>
        </is>
      </c>
      <c r="F4" s="10" t="inlineStr">
        <is>
          <t>City</t>
        </is>
      </c>
      <c r="G4" s="10" t="inlineStr">
        <is>
          <t>Phone</t>
        </is>
      </c>
      <c r="H4" s="10" t="inlineStr">
        <is>
          <t>Email</t>
        </is>
      </c>
      <c r="I4" s="10" t="inlineStr">
        <is>
          <t>Contact Source (your lists)</t>
        </is>
      </c>
      <c r="J4" s="10" t="inlineStr">
        <is>
          <t>Verification Status</t>
        </is>
      </c>
      <c r="K4" s="10" t="inlineStr">
        <is>
          <t>Latest Activity Found</t>
        </is>
      </c>
      <c r="L4" s="10" t="inlineStr">
        <is>
          <t>Evidence Link</t>
        </is>
      </c>
      <c r="M4" s="10" t="inlineStr">
        <is>
          <t>Notes / Brand Fit</t>
        </is>
      </c>
    </row>
    <row r="5">
      <c r="A5" s="6" t="n">
        <v>1</v>
      </c>
      <c r="B5" s="6" t="inlineStr">
        <is>
          <t>Fareeha Iftikhar</t>
        </is>
      </c>
      <c r="C5" s="6" t="inlineStr">
        <is>
          <t>Assistant Editor, leads education coverage</t>
        </is>
      </c>
      <c r="D5" s="6" t="inlineStr">
        <is>
          <t>ThePrint</t>
        </is>
      </c>
      <c r="E5" s="6" t="inlineStr">
        <is>
          <t>Education (school and higher-ed policy)</t>
        </is>
      </c>
      <c r="F5" s="6" t="inlineStr">
        <is>
          <t>New Delhi</t>
        </is>
      </c>
      <c r="G5" s="6" t="inlineStr">
        <is>
          <t>9560325287</t>
        </is>
      </c>
      <c r="H5" s="6" t="inlineStr">
        <is>
          <t>fareeha.iftikhar@theprint.in; iftikharfareeha27@gmail.com</t>
        </is>
      </c>
      <c r="I5" s="6" t="inlineStr">
        <is>
          <t>Education Media List (ThePrint row); old HT row outdated</t>
        </is>
      </c>
      <c r="J5" s="24" t="inlineStr">
        <is>
          <t>Moved - updated</t>
        </is>
      </c>
      <c r="K5" s="6" t="inlineStr">
        <is>
          <t>Joined ThePrint Aug 2024 to lead education; writing on education in 2026</t>
        </is>
      </c>
      <c r="L5" s="16" t="inlineStr">
        <is>
          <t>https://theprint.in/author/fareeha-iftikhar/</t>
        </is>
      </c>
      <c r="M5" s="6" t="inlineStr">
        <is>
          <t>Do not use fareeha.iftikhar@htdigital.in (still in two of your lists).</t>
        </is>
      </c>
    </row>
    <row r="6">
      <c r="A6" s="6" t="n">
        <v>2</v>
      </c>
      <c r="B6" s="6" t="inlineStr">
        <is>
          <t>Manash Pratim Gohain</t>
        </is>
      </c>
      <c r="C6" s="6" t="inlineStr">
        <is>
          <t>Senior Assistant Editor</t>
        </is>
      </c>
      <c r="D6" s="6" t="inlineStr">
        <is>
          <t>The Times of India</t>
        </is>
      </c>
      <c r="E6" s="6" t="inlineStr">
        <is>
          <t>Education policy (NEP, school and higher ed)</t>
        </is>
      </c>
      <c r="F6" s="6" t="inlineStr">
        <is>
          <t>New Delhi</t>
        </is>
      </c>
      <c r="G6" s="6" t="inlineStr">
        <is>
          <t>9873685063</t>
        </is>
      </c>
      <c r="H6" s="6" t="inlineStr">
        <is>
          <t>manash.gohain@timesgroup.com; manashpratimgohain@gmail.com</t>
        </is>
      </c>
      <c r="I6" s="6" t="inlineStr">
        <is>
          <t>Education Media List; Robust Education Media List</t>
        </is>
      </c>
      <c r="J6" s="17" t="inlineStr">
        <is>
          <t>Verified - active 2026</t>
        </is>
      </c>
      <c r="K6" s="6" t="inlineStr">
        <is>
          <t>20+ years on TOI education beat; NEP coverage referenced Jun 2026</t>
        </is>
      </c>
      <c r="L6" s="16" t="inlineStr">
        <is>
          <t>https://journalarta.com/news/2026/06/29/manash-pratim-gohain-liputan-nep-2020/?all=1</t>
        </is>
      </c>
      <c r="M6" s="6" t="inlineStr">
        <is>
          <t>Fit: DHS sports infrastructure + grassroots athlete policy (Khelo India, 2036 Olympics).</t>
        </is>
      </c>
    </row>
    <row r="7">
      <c r="A7" s="6" t="n">
        <v>3</v>
      </c>
      <c r="B7" s="6" t="inlineStr">
        <is>
          <t>Priyanka Srivastava</t>
        </is>
      </c>
      <c r="C7" s="6" t="inlineStr">
        <is>
          <t>Senior Editor, Education Times</t>
        </is>
      </c>
      <c r="D7" s="6" t="inlineStr">
        <is>
          <t>The Times of India (Education Times)</t>
        </is>
      </c>
      <c r="E7" s="6" t="inlineStr">
        <is>
          <t>Education (national editor, 27 editions)</t>
        </is>
      </c>
      <c r="F7" s="6" t="inlineStr">
        <is>
          <t>New Delhi</t>
        </is>
      </c>
      <c r="G7" s="6" t="inlineStr">
        <is>
          <t>9811861245</t>
        </is>
      </c>
      <c r="H7" s="6" t="inlineStr">
        <is>
          <t>priyanka.srivastava@timesgroup.com</t>
        </is>
      </c>
      <c r="I7" s="6" t="inlineStr">
        <is>
          <t>Education Media List; Robust Education Media List</t>
        </is>
      </c>
      <c r="J7" s="15" t="inlineStr">
        <is>
          <t>Verified - current role</t>
        </is>
      </c>
      <c r="K7" s="6" t="inlineStr">
        <is>
          <t>Profile: Senior Editor, Education Times, TOI</t>
        </is>
      </c>
      <c r="L7" s="16" t="inlineStr">
        <is>
          <t>https://theorg.com/org/the-times-of-india/org-chart/priyanka-srivastava</t>
        </is>
      </c>
      <c r="M7" s="6" t="inlineStr">
        <is>
          <t>Fit: DHS principal interview (Ritu Jawa), admissions-season features.</t>
        </is>
      </c>
    </row>
    <row r="8">
      <c r="A8" s="6" t="n">
        <v>4</v>
      </c>
      <c r="B8" s="6" t="inlineStr">
        <is>
          <t>Rajlakshmi Ghosh</t>
        </is>
      </c>
      <c r="C8" s="6" t="inlineStr">
        <is>
          <t>Senior Editor / Assistant Editor</t>
        </is>
      </c>
      <c r="D8" s="6" t="inlineStr">
        <is>
          <t>The Times of India (Education Times)</t>
        </is>
      </c>
      <c r="E8" s="6" t="inlineStr">
        <is>
          <t>School and higher education</t>
        </is>
      </c>
      <c r="F8" s="6" t="inlineStr">
        <is>
          <t>New Delhi / Faridabad</t>
        </is>
      </c>
      <c r="G8" s="6" t="inlineStr">
        <is>
          <t>9810268942</t>
        </is>
      </c>
      <c r="H8" s="6" t="inlineStr">
        <is>
          <t>rajlakshmi.ghosh@timesgroup.com</t>
        </is>
      </c>
      <c r="I8" s="6" t="inlineStr">
        <is>
          <t>Education Media List; Robust Education Media List</t>
        </is>
      </c>
      <c r="J8" s="15" t="inlineStr">
        <is>
          <t>Verified - current role</t>
        </is>
      </c>
      <c r="K8" s="6" t="inlineStr">
        <is>
          <t>Regular Education Times bylines on curriculum and school issues</t>
        </is>
      </c>
      <c r="L8" s="16" t="inlineStr">
        <is>
          <t>https://muckrack.com/rajlakshmi-ghosh/articles</t>
        </is>
      </c>
      <c r="M8" s="6" t="inlineStr">
        <is>
          <t>Fit: DHS curriculum and sports-integrated learning.</t>
        </is>
      </c>
    </row>
    <row r="9">
      <c r="A9" s="6" t="n">
        <v>5</v>
      </c>
      <c r="B9" s="6" t="inlineStr">
        <is>
          <t>Sonal Srivastava</t>
        </is>
      </c>
      <c r="C9" s="6" t="inlineStr">
        <is>
          <t>Senior Assistant Editor</t>
        </is>
      </c>
      <c r="D9" s="6" t="inlineStr">
        <is>
          <t>The Times of India (Education Times)</t>
        </is>
      </c>
      <c r="E9" s="6" t="inlineStr">
        <is>
          <t>Education</t>
        </is>
      </c>
      <c r="F9" s="6" t="inlineStr">
        <is>
          <t>Noida</t>
        </is>
      </c>
      <c r="G9" s="6" t="inlineStr">
        <is>
          <t>9871576637 / 9899927448</t>
        </is>
      </c>
      <c r="H9" s="6" t="inlineStr">
        <is>
          <t>Sonal.Srivastava@timesgroup.com; srivastava.sonal296@gmail.com</t>
        </is>
      </c>
      <c r="I9" s="6" t="inlineStr">
        <is>
          <t>Education Media List; Robust Education Media List</t>
        </is>
      </c>
      <c r="J9" s="15" t="inlineStr">
        <is>
          <t>Verified - current role</t>
        </is>
      </c>
      <c r="K9" s="6" t="inlineStr">
        <is>
          <t>Education Times bylines and interviews (muckrack)</t>
        </is>
      </c>
      <c r="L9" s="16" t="inlineStr">
        <is>
          <t>https://muckrack.com/sonal-srivastava</t>
        </is>
      </c>
      <c r="M9" s="6" t="inlineStr">
        <is>
          <t>Two mobiles appear in your lists; confirm which is current.</t>
        </is>
      </c>
    </row>
    <row r="10">
      <c r="A10" s="6" t="n">
        <v>6</v>
      </c>
      <c r="B10" s="6" t="inlineStr">
        <is>
          <t>Neeti Nigam</t>
        </is>
      </c>
      <c r="C10" s="6" t="inlineStr">
        <is>
          <t>Senior Assistant Editor, education vertical</t>
        </is>
      </c>
      <c r="D10" s="6" t="inlineStr">
        <is>
          <t>The Indian Express</t>
        </is>
      </c>
      <c r="E10" s="6" t="inlineStr">
        <is>
          <t>Education</t>
        </is>
      </c>
      <c r="F10" s="6" t="inlineStr">
        <is>
          <t>Noida</t>
        </is>
      </c>
      <c r="G10" s="6" t="inlineStr">
        <is>
          <t>9899843905</t>
        </is>
      </c>
      <c r="H10" s="6" t="inlineStr">
        <is>
          <t>neeti.nigam@indianexpress.com</t>
        </is>
      </c>
      <c r="I10" s="6" t="inlineStr">
        <is>
          <t>Education Media List; Robust Education Media List</t>
        </is>
      </c>
      <c r="J10" s="15" t="inlineStr">
        <is>
          <t>Verified - current role</t>
        </is>
      </c>
      <c r="K10" s="6" t="inlineStr">
        <is>
          <t>Senior Assistant Editor running IE's education vertical (LinkedIn, X)</t>
        </is>
      </c>
      <c r="L10" s="16" t="inlineStr">
        <is>
          <t>https://muckrack.com/neeti-nigam/articles</t>
        </is>
      </c>
      <c r="M10" s="6" t="inlineStr">
        <is>
          <t>Fit: DHS press releases and admissions stories.</t>
        </is>
      </c>
    </row>
    <row r="11">
      <c r="A11" s="6" t="n">
        <v>7</v>
      </c>
      <c r="B11" s="6" t="inlineStr">
        <is>
          <t>Deeksha Teri</t>
        </is>
      </c>
      <c r="C11" s="6" t="inlineStr">
        <is>
          <t>Assistant Editor (education)</t>
        </is>
      </c>
      <c r="D11" s="6" t="inlineStr">
        <is>
          <t>Times Now News</t>
        </is>
      </c>
      <c r="E11" s="6" t="inlineStr">
        <is>
          <t>School governance, education policy, campus life</t>
        </is>
      </c>
      <c r="F11" s="6" t="inlineStr">
        <is>
          <t>New Delhi</t>
        </is>
      </c>
      <c r="G11" s="6" t="inlineStr">
        <is>
          <t>8377977749</t>
        </is>
      </c>
      <c r="H11" s="6" t="n"/>
      <c r="I11" s="6" t="inlineStr">
        <is>
          <t>Robust Education Media List (IE email outdated)</t>
        </is>
      </c>
      <c r="J11" s="24" t="inlineStr">
        <is>
          <t>Moved - updated</t>
        </is>
      </c>
      <c r="K11" s="6" t="inlineStr">
        <is>
          <t>Muck Rack now lists her as Assistant Editor, Times Now News; previously Indian Express</t>
        </is>
      </c>
      <c r="L11" s="16" t="inlineStr">
        <is>
          <t>https://muckrack.com/deeksha-teri</t>
        </is>
      </c>
      <c r="M11" s="6" t="inlineStr">
        <is>
          <t>Do not use deeksha.teri@indianexpress.com. Mobile from old list; confirm.</t>
        </is>
      </c>
    </row>
    <row r="12">
      <c r="A12" s="6" t="n">
        <v>8</v>
      </c>
      <c r="B12" s="6" t="inlineStr">
        <is>
          <t>Ritika Chopra</t>
        </is>
      </c>
      <c r="C12" s="6" t="inlineStr">
        <is>
          <t>Senior journalist, national bureau</t>
        </is>
      </c>
      <c r="D12" s="6" t="inlineStr">
        <is>
          <t>The Indian Express</t>
        </is>
      </c>
      <c r="E12" s="6" t="inlineStr">
        <is>
          <t>Governance, policy (covered Education Ministry)</t>
        </is>
      </c>
      <c r="F12" s="6" t="inlineStr">
        <is>
          <t>New Delhi</t>
        </is>
      </c>
      <c r="G12" s="6" t="inlineStr">
        <is>
          <t>9810332214</t>
        </is>
      </c>
      <c r="H12" s="6" t="inlineStr">
        <is>
          <t>ritika.chopra@expressindia.com</t>
        </is>
      </c>
      <c r="I12" s="6" t="inlineStr">
        <is>
          <t>Education Media List</t>
        </is>
      </c>
      <c r="J12" s="18" t="inlineStr">
        <is>
          <t>To confirm</t>
        </is>
      </c>
      <c r="K12" s="6" t="inlineStr">
        <is>
          <t>Long-time IE reporter on education ministry and Election Commission; current beat not confirmed</t>
        </is>
      </c>
      <c r="L12" s="6" t="n"/>
      <c r="M12" s="6" t="inlineStr">
        <is>
          <t>Policy-level only; use for DHS grassroots-sport policy angle if she is still on education.</t>
        </is>
      </c>
    </row>
    <row r="13">
      <c r="A13" s="6" t="n">
        <v>9</v>
      </c>
      <c r="B13" s="6" t="inlineStr">
        <is>
          <t>Prachi Verma</t>
        </is>
      </c>
      <c r="C13" s="6" t="inlineStr">
        <is>
          <t>Senior Assistant Editor</t>
        </is>
      </c>
      <c r="D13" s="6" t="inlineStr">
        <is>
          <t>The Economic Times</t>
        </is>
      </c>
      <c r="E13" s="6" t="inlineStr">
        <is>
          <t>HR and education</t>
        </is>
      </c>
      <c r="F13" s="6" t="inlineStr">
        <is>
          <t>New Delhi</t>
        </is>
      </c>
      <c r="G13" s="6" t="inlineStr">
        <is>
          <t>9891002930</t>
        </is>
      </c>
      <c r="H13" s="6" t="inlineStr">
        <is>
          <t>prachi.verma@timesgroup.com; prachi11atwork@gmail.com</t>
        </is>
      </c>
      <c r="I13" s="6" t="inlineStr">
        <is>
          <t>Education Media List; Robust Education Media List</t>
        </is>
      </c>
      <c r="J13" s="17" t="inlineStr">
        <is>
          <t>Verified - active 2026</t>
        </is>
      </c>
      <c r="K13" s="6" t="inlineStr">
        <is>
          <t>Bylines on overseas study trends (Jan and Mar 2026)</t>
        </is>
      </c>
      <c r="L13" s="16" t="inlineStr">
        <is>
          <t>https://muckrack.com/prachivermaet/articles</t>
        </is>
      </c>
      <c r="M13" s="6" t="inlineStr">
        <is>
          <t>Fit: DHS founder or principal voice on future-ready schooling.</t>
        </is>
      </c>
    </row>
    <row r="14">
      <c r="A14" s="6" t="n">
        <v>10</v>
      </c>
      <c r="B14" s="6" t="inlineStr">
        <is>
          <t>Abhishek Sahu</t>
        </is>
      </c>
      <c r="C14" s="6" t="inlineStr">
        <is>
          <t>Principal Correspondent</t>
        </is>
      </c>
      <c r="D14" s="6" t="inlineStr">
        <is>
          <t>The Economic Times</t>
        </is>
      </c>
      <c r="E14" s="6" t="inlineStr">
        <is>
          <t>HR and education</t>
        </is>
      </c>
      <c r="F14" s="6" t="inlineStr">
        <is>
          <t>New Delhi</t>
        </is>
      </c>
      <c r="G14" s="6" t="inlineStr">
        <is>
          <t>9140230761</t>
        </is>
      </c>
      <c r="H14" s="6" t="n"/>
      <c r="I14" s="6" t="inlineStr">
        <is>
          <t>Education Media List; Robust Education Media List (Moneycontrol rows outdated)</t>
        </is>
      </c>
      <c r="J14" s="24" t="inlineStr">
        <is>
          <t>Moved - updated</t>
        </is>
      </c>
      <c r="K14" s="6" t="inlineStr">
        <is>
          <t>Now Principal Correspondent at ET covering HR and education; previously Moneycontrol</t>
        </is>
      </c>
      <c r="L14" s="16" t="inlineStr">
        <is>
          <t>https://muckrack.com/abhishek-sahu-2/articles</t>
        </is>
      </c>
      <c r="M14" s="6" t="inlineStr">
        <is>
          <t>Do not use Abhishek.Sahu@nw18.com. ET email not in your lists.</t>
        </is>
      </c>
    </row>
    <row r="15">
      <c r="A15" s="6" t="n">
        <v>11</v>
      </c>
      <c r="B15" s="6" t="inlineStr">
        <is>
          <t>Puniti Pandey</t>
        </is>
      </c>
      <c r="C15" s="6" t="inlineStr">
        <is>
          <t>Senior Sub Editor, education</t>
        </is>
      </c>
      <c r="D15" s="6" t="inlineStr">
        <is>
          <t>NDTV</t>
        </is>
      </c>
      <c r="E15" s="6" t="inlineStr">
        <is>
          <t>Education (CBSE, boards, admissions)</t>
        </is>
      </c>
      <c r="F15" s="6" t="inlineStr">
        <is>
          <t>New Delhi</t>
        </is>
      </c>
      <c r="G15" s="6" t="inlineStr">
        <is>
          <t>9560071458</t>
        </is>
      </c>
      <c r="H15" s="6" t="inlineStr">
        <is>
          <t>punitip@ndtv.com; punitipandey.2@gmail.com</t>
        </is>
      </c>
      <c r="I15" s="6" t="inlineStr">
        <is>
          <t>Robust Education Media List; Education Media List</t>
        </is>
      </c>
      <c r="J15" s="17" t="inlineStr">
        <is>
          <t>Verified - active 2026</t>
        </is>
      </c>
      <c r="K15" s="6" t="inlineStr">
        <is>
          <t>2026 bylines on CBSE Board Exams 2026 and admissions</t>
        </is>
      </c>
      <c r="L15" s="16" t="inlineStr">
        <is>
          <t>https://muckrack.com/puniti-pandey/articles</t>
        </is>
      </c>
      <c r="M15" s="6" t="inlineStr">
        <is>
          <t>puniti.pandey@timesgroup.com in one list is an old address.</t>
        </is>
      </c>
    </row>
    <row r="16">
      <c r="A16" s="6" t="n">
        <v>12</v>
      </c>
      <c r="B16" s="6" t="inlineStr">
        <is>
          <t>Sukanya Nandy</t>
        </is>
      </c>
      <c r="C16" s="6" t="inlineStr">
        <is>
          <t>Sub Editor, education</t>
        </is>
      </c>
      <c r="D16" s="6" t="inlineStr">
        <is>
          <t>CNN-News18</t>
        </is>
      </c>
      <c r="E16" s="6" t="inlineStr">
        <is>
          <t>Education (exam results, CBSE, CUET)</t>
        </is>
      </c>
      <c r="F16" s="6" t="inlineStr">
        <is>
          <t>New Delhi</t>
        </is>
      </c>
      <c r="G16" s="6" t="inlineStr">
        <is>
          <t>8527888004</t>
        </is>
      </c>
      <c r="H16" s="6" t="inlineStr">
        <is>
          <t>sukanya.nandy@nw18.com; sukanyanandy15@gmail.com</t>
        </is>
      </c>
      <c r="I16" s="6" t="inlineStr">
        <is>
          <t>Education Media List; Robust Education Media List</t>
        </is>
      </c>
      <c r="J16" s="17" t="inlineStr">
        <is>
          <t>Verified - active 2026</t>
        </is>
      </c>
      <c r="K16" s="6" t="inlineStr">
        <is>
          <t>Education desk at News18; profile active Feb 2026</t>
        </is>
      </c>
      <c r="L16" s="16" t="inlineStr">
        <is>
          <t>https://intelligentrelations.com/journalist/sukanya-nandy/</t>
        </is>
      </c>
      <c r="M16" s="6" t="inlineStr">
        <is>
          <t>Fit: DHS news releases.</t>
        </is>
      </c>
    </row>
    <row r="17">
      <c r="A17" s="6" t="n">
        <v>13</v>
      </c>
      <c r="B17" s="6" t="inlineStr">
        <is>
          <t>Vatsala Shrangi</t>
        </is>
      </c>
      <c r="C17" s="6" t="inlineStr">
        <is>
          <t>Assistant Editor</t>
        </is>
      </c>
      <c r="D17" s="6" t="inlineStr">
        <is>
          <t>CNN-News18</t>
        </is>
      </c>
      <c r="E17" s="6" t="inlineStr">
        <is>
          <t>Education policy (PM-SHRI, IITs, NEP)</t>
        </is>
      </c>
      <c r="F17" s="6" t="inlineStr">
        <is>
          <t>New Delhi</t>
        </is>
      </c>
      <c r="G17" s="6" t="inlineStr">
        <is>
          <t>9999692270</t>
        </is>
      </c>
      <c r="H17" s="6" t="inlineStr">
        <is>
          <t>Vatsala.Shrangi@ibnlive.com</t>
        </is>
      </c>
      <c r="I17" s="6" t="inlineStr">
        <is>
          <t>Robust Education Media List</t>
        </is>
      </c>
      <c r="J17" s="18" t="inlineStr">
        <is>
          <t>To confirm</t>
        </is>
      </c>
      <c r="K17" s="6" t="inlineStr">
        <is>
          <t>News18 education bylines; one 2025 source calls her 'formerly' a journalist</t>
        </is>
      </c>
      <c r="L17" s="16" t="inlineStr">
        <is>
          <t>https://buzzsumo.com/journalist/vatsala-shrangi-92753796/</t>
        </is>
      </c>
      <c r="M17" s="6" t="inlineStr">
        <is>
          <t>Confirm she is still at News18.</t>
        </is>
      </c>
    </row>
    <row r="18">
      <c r="A18" s="6" t="n">
        <v>14</v>
      </c>
      <c r="B18" s="6" t="inlineStr">
        <is>
          <t>Upasana Sharan</t>
        </is>
      </c>
      <c r="C18" s="6" t="inlineStr">
        <is>
          <t>Principal / Senior Copy Editor, education vertical</t>
        </is>
      </c>
      <c r="D18" s="6" t="inlineStr">
        <is>
          <t>BW Businessworld (BW Education)</t>
        </is>
      </c>
      <c r="E18" s="6" t="inlineStr">
        <is>
          <t>Education</t>
        </is>
      </c>
      <c r="F18" s="6" t="inlineStr">
        <is>
          <t>New Delhi</t>
        </is>
      </c>
      <c r="G18" s="6" t="inlineStr">
        <is>
          <t>7739174388</t>
        </is>
      </c>
      <c r="H18" s="6" t="inlineStr">
        <is>
          <t>upasana@businessworld.in; upasanasharan1995@gmail.com</t>
        </is>
      </c>
      <c r="I18" s="6" t="inlineStr">
        <is>
          <t>Education Media List; Robust Education Media List</t>
        </is>
      </c>
      <c r="J18" s="15" t="inlineStr">
        <is>
          <t>Verified - current role</t>
        </is>
      </c>
      <c r="K18" s="6" t="inlineStr">
        <is>
          <t>Handles BW Education vertical (author pages)</t>
        </is>
      </c>
      <c r="L18" s="16" t="inlineStr">
        <is>
          <t>http://bweducation.businessworld.in/author/BW-Reporters/Upasana-87081/</t>
        </is>
      </c>
      <c r="M18" s="6" t="inlineStr">
        <is>
          <t>BW Education already carried DHS coverage; good repeat target.</t>
        </is>
      </c>
    </row>
    <row r="19">
      <c r="A19" s="6" t="n">
        <v>15</v>
      </c>
      <c r="B19" s="6" t="inlineStr">
        <is>
          <t>Devina Sengupta</t>
        </is>
      </c>
      <c r="C19" s="6" t="inlineStr">
        <is>
          <t>Deputy Editor</t>
        </is>
      </c>
      <c r="D19" s="6" t="inlineStr">
        <is>
          <t>Mint</t>
        </is>
      </c>
      <c r="E19" s="6" t="inlineStr">
        <is>
          <t>HR, workplace, edtech</t>
        </is>
      </c>
      <c r="F19" s="6" t="inlineStr">
        <is>
          <t>Mumbai</t>
        </is>
      </c>
      <c r="G19" s="6" t="inlineStr">
        <is>
          <t>9820463438</t>
        </is>
      </c>
      <c r="H19" s="6" t="inlineStr">
        <is>
          <t>devina.sengupta@livemint.com; devinasengupta@gmail.com</t>
        </is>
      </c>
      <c r="I19" s="6" t="inlineStr">
        <is>
          <t>Robust Education Media List</t>
        </is>
      </c>
      <c r="J19" s="15" t="inlineStr">
        <is>
          <t>Verified - current role</t>
        </is>
      </c>
      <c r="K19" s="6" t="inlineStr">
        <is>
          <t>Listed as Deputy Editor, HR/workplace/edtech on Mint journalist directory</t>
        </is>
      </c>
      <c r="L19" s="16" t="inlineStr">
        <is>
          <t>https://muckrack.com/media-outlet/livemint</t>
        </is>
      </c>
      <c r="M19" s="6" t="inlineStr">
        <is>
          <t>Mumbai-based but national; Mint is the only national business daily on this sheet.</t>
        </is>
      </c>
    </row>
    <row r="20">
      <c r="A20" s="6" t="n">
        <v>16</v>
      </c>
      <c r="B20" s="6" t="inlineStr">
        <is>
          <t>Sakshi Gupta</t>
        </is>
      </c>
      <c r="C20" s="6" t="inlineStr">
        <is>
          <t>Senior Content Developer</t>
        </is>
      </c>
      <c r="D20" s="6" t="inlineStr">
        <is>
          <t>Careers360</t>
        </is>
      </c>
      <c r="E20" s="6" t="inlineStr">
        <is>
          <t>School education, students, teachers</t>
        </is>
      </c>
      <c r="F20" s="6" t="inlineStr">
        <is>
          <t>Ghaziabad (NCR)</t>
        </is>
      </c>
      <c r="G20" s="6" t="inlineStr">
        <is>
          <t>9899997644</t>
        </is>
      </c>
      <c r="H20" s="6" t="n"/>
      <c r="I20" s="6" t="inlineStr">
        <is>
          <t>Education Media List (Free Press Journal row outdated)</t>
        </is>
      </c>
      <c r="J20" s="24" t="inlineStr">
        <is>
          <t>Moved - updated</t>
        </is>
      </c>
      <c r="K20" s="6" t="inlineStr">
        <is>
          <t>Careers360 author page; previously Free Press Journal</t>
        </is>
      </c>
      <c r="L20" s="16" t="inlineStr">
        <is>
          <t>https://news.careers360.com/author/sakshi-gupta</t>
        </is>
      </c>
      <c r="M20" s="6" t="inlineStr">
        <is>
          <t>Do not use sakshi@freepressjournal.in. Careers360 email not in your lists.</t>
        </is>
      </c>
    </row>
    <row r="21">
      <c r="A21" s="6" t="n">
        <v>17</v>
      </c>
      <c r="B21" s="6" t="inlineStr">
        <is>
          <t>Nidhi Mittal</t>
        </is>
      </c>
      <c r="C21" s="6" t="inlineStr">
        <is>
          <t>Chief Sub Editor (English), education</t>
        </is>
      </c>
      <c r="D21" s="6" t="inlineStr">
        <is>
          <t>India TV</t>
        </is>
      </c>
      <c r="E21" s="6" t="inlineStr">
        <is>
          <t>Education</t>
        </is>
      </c>
      <c r="F21" s="6" t="inlineStr">
        <is>
          <t>New Delhi</t>
        </is>
      </c>
      <c r="G21" s="6" t="inlineStr">
        <is>
          <t>8860628209</t>
        </is>
      </c>
      <c r="H21" s="6" t="inlineStr">
        <is>
          <t>nidhimittal@indiatvnews.com; mittal.nidhi5@gmail.com</t>
        </is>
      </c>
      <c r="I21" s="6" t="inlineStr">
        <is>
          <t>Education Media List; Robust Education Media List</t>
        </is>
      </c>
      <c r="J21" s="18" t="inlineStr">
        <is>
          <t>To confirm</t>
        </is>
      </c>
      <c r="K21" s="6" t="inlineStr">
        <is>
          <t>India TV author page lists education stories; a LinkedIn profile shows a different employer</t>
        </is>
      </c>
      <c r="L21" s="16" t="inlineStr">
        <is>
          <t>https://www.indiatvnews.com/author/nidhi-mittal</t>
        </is>
      </c>
      <c r="M21" s="6" t="inlineStr">
        <is>
          <t>Confirm employer before use.</t>
        </is>
      </c>
    </row>
    <row r="22">
      <c r="A22" s="6" t="n">
        <v>18</v>
      </c>
      <c r="B22" s="6" t="inlineStr">
        <is>
          <t>Smarica Pant</t>
        </is>
      </c>
      <c r="C22" s="6" t="inlineStr">
        <is>
          <t>Research Content Specialist</t>
        </is>
      </c>
      <c r="D22" s="6" t="inlineStr">
        <is>
          <t>India Today</t>
        </is>
      </c>
      <c r="E22" s="6" t="inlineStr">
        <is>
          <t>Digital content (education earlier)</t>
        </is>
      </c>
      <c r="F22" s="6" t="inlineStr">
        <is>
          <t>Noida</t>
        </is>
      </c>
      <c r="G22" s="6" t="inlineStr">
        <is>
          <t>8587812356</t>
        </is>
      </c>
      <c r="H22" s="6" t="inlineStr">
        <is>
          <t>smarica.pant@intoday.com</t>
        </is>
      </c>
      <c r="I22" s="6" t="inlineStr">
        <is>
          <t>Education Media List; Robust Education Media List</t>
        </is>
      </c>
      <c r="J22" s="18" t="inlineStr">
        <is>
          <t>To confirm</t>
        </is>
      </c>
      <c r="K22" s="6" t="inlineStr">
        <is>
          <t>Still at India Today per profile; current role not on education desk</t>
        </is>
      </c>
      <c r="L22" s="16" t="inlineStr">
        <is>
          <t>https://muckrack.com/smarica-pant</t>
        </is>
      </c>
      <c r="M22" s="6" t="inlineStr">
        <is>
          <t>Your list calls her Bureau Chief; that does not match her current profile.</t>
        </is>
      </c>
    </row>
    <row r="23">
      <c r="A23" s="6" t="n">
        <v>19</v>
      </c>
      <c r="B23" s="6" t="inlineStr">
        <is>
          <t>Apoorva Anand</t>
        </is>
      </c>
      <c r="C23" s="6" t="inlineStr">
        <is>
          <t>Chief Sub Editor</t>
        </is>
      </c>
      <c r="D23" s="6" t="inlineStr">
        <is>
          <t>India Today</t>
        </is>
      </c>
      <c r="E23" s="6" t="inlineStr">
        <is>
          <t>Education (India Today Aspire earlier)</t>
        </is>
      </c>
      <c r="F23" s="6" t="inlineStr">
        <is>
          <t>Noida</t>
        </is>
      </c>
      <c r="G23" s="6" t="inlineStr">
        <is>
          <t>9654773319</t>
        </is>
      </c>
      <c r="H23" s="6" t="inlineStr">
        <is>
          <t>apoorva.intoday@gmail.com</t>
        </is>
      </c>
      <c r="I23" s="6" t="inlineStr">
        <is>
          <t>Robust Education Media List</t>
        </is>
      </c>
      <c r="J23" s="18" t="inlineStr">
        <is>
          <t>To confirm</t>
        </is>
      </c>
      <c r="K23" s="6" t="inlineStr">
        <is>
          <t>LinkedIn: Chief Sub Editor, India Today; education desk not confirmed</t>
        </is>
      </c>
      <c r="L23" s="16" t="inlineStr">
        <is>
          <t>https://www.linkedin.com/in/apoorva-anand-5b640046/</t>
        </is>
      </c>
      <c r="M23" s="6" t="inlineStr">
        <is>
          <t>Confirm desk before use.</t>
        </is>
      </c>
    </row>
    <row r="24">
      <c r="A24" s="6" t="n">
        <v>20</v>
      </c>
      <c r="B24" s="6" t="inlineStr">
        <is>
          <t>Charles Isaac</t>
        </is>
      </c>
      <c r="C24" s="6" t="inlineStr">
        <is>
          <t>Editor, HT Students' edition / News Editor</t>
        </is>
      </c>
      <c r="D24" s="6" t="inlineStr">
        <is>
          <t>Hindustan Times</t>
        </is>
      </c>
      <c r="E24" s="6" t="inlineStr">
        <is>
          <t>School edition (HT School)</t>
        </is>
      </c>
      <c r="F24" s="6" t="inlineStr">
        <is>
          <t>New Delhi</t>
        </is>
      </c>
      <c r="G24" s="6" t="inlineStr">
        <is>
          <t>9717778709</t>
        </is>
      </c>
      <c r="H24" s="6" t="inlineStr">
        <is>
          <t>charles.isaac@hindustantimes.com</t>
        </is>
      </c>
      <c r="I24" s="6" t="inlineStr">
        <is>
          <t>Education Media List; Robust Education Media List</t>
        </is>
      </c>
      <c r="J24" s="18" t="inlineStr">
        <is>
          <t>To confirm</t>
        </is>
      </c>
      <c r="K24" s="6" t="inlineStr">
        <is>
          <t>Could not confirm current role online</t>
        </is>
      </c>
      <c r="L24" s="6" t="n"/>
      <c r="M24" s="6" t="inlineStr">
        <is>
          <t>HT School is a strong DHS outlet if he is still in the role; call to confirm.</t>
        </is>
      </c>
    </row>
    <row r="25">
      <c r="A25" s="6" t="n">
        <v>21</v>
      </c>
      <c r="B25" s="6" t="inlineStr">
        <is>
          <t>Kritika Sharma</t>
        </is>
      </c>
      <c r="C25" s="6" t="inlineStr">
        <is>
          <t>Education correspondent (outlet to confirm)</t>
        </is>
      </c>
      <c r="D25" s="6" t="inlineStr">
        <is>
          <t>The Times of India / ThePrint (to confirm)</t>
        </is>
      </c>
      <c r="E25" s="6" t="inlineStr">
        <is>
          <t>Education</t>
        </is>
      </c>
      <c r="F25" s="6" t="inlineStr">
        <is>
          <t>New Delhi</t>
        </is>
      </c>
      <c r="G25" s="6" t="inlineStr">
        <is>
          <t>8860752544</t>
        </is>
      </c>
      <c r="H25" s="6" t="inlineStr">
        <is>
          <t>Kritika.Sharma@timesgroup.com</t>
        </is>
      </c>
      <c r="I25" s="6" t="inlineStr">
        <is>
          <t>Education Media List; Robust Education Media List</t>
        </is>
      </c>
      <c r="J25" s="18" t="inlineStr">
        <is>
          <t>To confirm</t>
        </is>
      </c>
      <c r="K25" s="6" t="inlineStr">
        <is>
          <t>Your lists show TOI; online author profile is from ThePrint</t>
        </is>
      </c>
      <c r="L25" s="16" t="inlineStr">
        <is>
          <t>https://theprint.in/author/kritika-sharma/</t>
        </is>
      </c>
      <c r="M25" s="6" t="inlineStr">
        <is>
          <t>Confirm current outlet before use.</t>
        </is>
      </c>
    </row>
    <row r="26">
      <c r="A26" s="6" t="n">
        <v>22</v>
      </c>
      <c r="B26" s="6" t="inlineStr">
        <is>
          <t>Zakariya Khan</t>
        </is>
      </c>
      <c r="C26" s="6" t="inlineStr">
        <is>
          <t>Senior Correspondent</t>
        </is>
      </c>
      <c r="D26" s="6" t="inlineStr">
        <is>
          <t>Financial Express</t>
        </is>
      </c>
      <c r="E26" s="6" t="inlineStr">
        <is>
          <t>Education</t>
        </is>
      </c>
      <c r="F26" s="6" t="inlineStr">
        <is>
          <t>New Delhi</t>
        </is>
      </c>
      <c r="G26" s="6" t="inlineStr">
        <is>
          <t>7558378161</t>
        </is>
      </c>
      <c r="H26" s="6" t="inlineStr">
        <is>
          <t>zakariya.khan@financialexpress.com</t>
        </is>
      </c>
      <c r="I26" s="6" t="inlineStr">
        <is>
          <t>Robust Education Media List</t>
        </is>
      </c>
      <c r="J26" s="18" t="inlineStr">
        <is>
          <t>To confirm</t>
        </is>
      </c>
      <c r="K26" s="6" t="inlineStr">
        <is>
          <t>Could not confirm online; one list row also shows a businessworld.in email</t>
        </is>
      </c>
      <c r="L26" s="6" t="n"/>
      <c r="M26" s="6" t="inlineStr">
        <is>
          <t>Confirm current outlet before use.</t>
        </is>
      </c>
    </row>
    <row r="27">
      <c r="A27" s="6" t="n">
        <v>23</v>
      </c>
      <c r="B27" s="6" t="inlineStr">
        <is>
          <t>Geetu Vaid</t>
        </is>
      </c>
      <c r="C27" s="6" t="inlineStr">
        <is>
          <t>Chief Sub Editor</t>
        </is>
      </c>
      <c r="D27" s="6" t="inlineStr">
        <is>
          <t>The Tribune</t>
        </is>
      </c>
      <c r="E27" s="6" t="inlineStr">
        <is>
          <t>Education, schools, careers features</t>
        </is>
      </c>
      <c r="F27" s="6" t="inlineStr">
        <is>
          <t>Chandigarh</t>
        </is>
      </c>
      <c r="G27" s="6" t="inlineStr">
        <is>
          <t>9646878446 / 9501648446</t>
        </is>
      </c>
      <c r="H27" s="6" t="inlineStr">
        <is>
          <t>geetu@tribunemail.com</t>
        </is>
      </c>
      <c r="I27" s="6" t="inlineStr">
        <is>
          <t>Education Media List; Robust Education Media List</t>
        </is>
      </c>
      <c r="J27" s="15" t="inlineStr">
        <is>
          <t>Verified - current role</t>
        </is>
      </c>
      <c r="K27" s="6" t="inlineStr">
        <is>
          <t>Tribune education and schools features (e.g. 'Extra Class' board-exam series)</t>
        </is>
      </c>
      <c r="L27" s="16" t="inlineStr">
        <is>
          <t>https://www.linkedin.com/in/geetu-vaid-05a926b4/</t>
        </is>
      </c>
      <c r="M27" s="6" t="inlineStr">
        <is>
          <t>Chandigarh-based, not NCR; Tribune reaches Haryana families (Gurugram).</t>
        </is>
      </c>
    </row>
    <row r="28">
      <c r="A28" s="6" t="n">
        <v>24</v>
      </c>
      <c r="B28" s="6" t="inlineStr">
        <is>
          <t>Sukrita Baruah</t>
        </is>
      </c>
      <c r="C28" s="6" t="inlineStr">
        <is>
          <t>Chief Reporter, Delhi city bureau</t>
        </is>
      </c>
      <c r="D28" s="6" t="inlineStr">
        <is>
          <t>The Indian Express</t>
        </is>
      </c>
      <c r="E28" s="6" t="inlineStr">
        <is>
          <t>Education and children, Delhi city</t>
        </is>
      </c>
      <c r="F28" s="6" t="inlineStr">
        <is>
          <t>New Delhi</t>
        </is>
      </c>
      <c r="G28" s="6" t="n"/>
      <c r="H28" s="6" t="n"/>
      <c r="I28" s="6" t="inlineStr">
        <is>
          <t>New research: contact to source</t>
        </is>
      </c>
      <c r="J28" s="17" t="inlineStr">
        <is>
          <t>Verified - active 2026</t>
        </is>
      </c>
      <c r="K28" s="6" t="inlineStr">
        <is>
          <t>Took charge as Chief Reporter, Delhi bureau (Sep 2026); long record on education</t>
        </is>
      </c>
      <c r="L28" s="16" t="inlineStr">
        <is>
          <t>https://www.linkedin.com/in/sukrita-baruah-58aa77155/</t>
        </is>
      </c>
      <c r="M28" s="6" t="inlineStr">
        <is>
          <t>Top fit: DHS (Delhi NCR education stories).</t>
        </is>
      </c>
    </row>
    <row r="29">
      <c r="A29" s="6" t="n">
        <v>25</v>
      </c>
      <c r="B29" s="6" t="inlineStr">
        <is>
          <t>Leena Dhankhar</t>
        </is>
      </c>
      <c r="C29" s="6" t="inlineStr">
        <is>
          <t>Bureau Chief, Gurugram</t>
        </is>
      </c>
      <c r="D29" s="6" t="inlineStr">
        <is>
          <t>Hindustan Times</t>
        </is>
      </c>
      <c r="E29" s="6" t="inlineStr">
        <is>
          <t>Gurugram civic, investigations, education</t>
        </is>
      </c>
      <c r="F29" s="6" t="inlineStr">
        <is>
          <t>Gurugram</t>
        </is>
      </c>
      <c r="G29" s="6" t="n"/>
      <c r="H29" s="6" t="n"/>
      <c r="I29" s="6" t="inlineStr">
        <is>
          <t>New research: contact to source</t>
        </is>
      </c>
      <c r="J29" s="17" t="inlineStr">
        <is>
          <t>Verified - active 2026</t>
        </is>
      </c>
      <c r="K29" s="6" t="inlineStr">
        <is>
          <t>Gurugram stories in Aug 2026 (MCG, air quality, safety survey)</t>
        </is>
      </c>
      <c r="L29" s="16" t="inlineStr">
        <is>
          <t>https://muckrack.com/leena-dhankhar/articles</t>
        </is>
      </c>
      <c r="M29" s="6" t="inlineStr">
        <is>
          <t>Top fit: DHS is in Gurugram; sports complex as a city story.</t>
        </is>
      </c>
    </row>
    <row r="30">
      <c r="A30" s="6" t="n">
        <v>26</v>
      </c>
      <c r="B30" s="6" t="inlineStr">
        <is>
          <t>Ishita Singh</t>
        </is>
      </c>
      <c r="C30" s="6" t="inlineStr">
        <is>
          <t>Senior Correspondent</t>
        </is>
      </c>
      <c r="D30" s="6" t="inlineStr">
        <is>
          <t>Hindustan Times</t>
        </is>
      </c>
      <c r="E30" s="6" t="inlineStr">
        <is>
          <t>Education and schools (Gurugram coverage)</t>
        </is>
      </c>
      <c r="F30" s="6" t="inlineStr">
        <is>
          <t>New Delhi / Gurugram</t>
        </is>
      </c>
      <c r="G30" s="6" t="n"/>
      <c r="H30" s="6" t="n"/>
      <c r="I30" s="6" t="inlineStr">
        <is>
          <t>New research: contact to source</t>
        </is>
      </c>
      <c r="J30" s="15" t="inlineStr">
        <is>
          <t>Verified - current role</t>
        </is>
      </c>
      <c r="K30" s="6" t="inlineStr">
        <is>
          <t>Muck Rack: HT education and schools stories incl. Gurugram CBSE results and unrecognised schools</t>
        </is>
      </c>
      <c r="L30" s="16" t="inlineStr">
        <is>
          <t>https://muckrack.com/ishita-singh-3/articles</t>
        </is>
      </c>
      <c r="M30" s="6" t="inlineStr">
        <is>
          <t>Top fit: DHS Gurugram school news.</t>
        </is>
      </c>
    </row>
    <row r="31">
      <c r="A31" s="6" t="n">
        <v>27</v>
      </c>
      <c r="B31" s="6" t="inlineStr">
        <is>
          <t>Shruti Kakkar</t>
        </is>
      </c>
      <c r="C31" s="6" t="inlineStr">
        <is>
          <t>Principal Correspondent</t>
        </is>
      </c>
      <c r="D31" s="6" t="inlineStr">
        <is>
          <t>Hindustan Times</t>
        </is>
      </c>
      <c r="E31" s="6" t="inlineStr">
        <is>
          <t>Education, Delhi University</t>
        </is>
      </c>
      <c r="F31" s="6" t="inlineStr">
        <is>
          <t>New Delhi</t>
        </is>
      </c>
      <c r="G31" s="6" t="n"/>
      <c r="H31" s="6" t="n"/>
      <c r="I31" s="6" t="inlineStr">
        <is>
          <t>New research: contact to source</t>
        </is>
      </c>
      <c r="J31" s="15" t="inlineStr">
        <is>
          <t>Verified - current role</t>
        </is>
      </c>
      <c r="K31" s="6" t="inlineStr">
        <is>
          <t>Muck Rack: HT education and DU coverage</t>
        </is>
      </c>
      <c r="L31" s="16" t="inlineStr">
        <is>
          <t>https://muckrack.com/shruti-kakkar/articles</t>
        </is>
      </c>
      <c r="M31" s="6" t="inlineStr">
        <is>
          <t>Fit: DHS policy and admissions angles.</t>
        </is>
      </c>
    </row>
    <row r="32">
      <c r="A32" s="6" t="n">
        <v>28</v>
      </c>
      <c r="B32" s="6" t="inlineStr">
        <is>
          <t>Bagish Jha</t>
        </is>
      </c>
      <c r="C32" s="6" t="inlineStr">
        <is>
          <t>Assistant Editor</t>
        </is>
      </c>
      <c r="D32" s="6" t="inlineStr">
        <is>
          <t>The Times of India (Gurgaon)</t>
        </is>
      </c>
      <c r="E32" s="6" t="inlineStr">
        <is>
          <t>Gurgaon development, infrastructure, courts</t>
        </is>
      </c>
      <c r="F32" s="6" t="inlineStr">
        <is>
          <t>Gurugram</t>
        </is>
      </c>
      <c r="G32" s="6" t="n"/>
      <c r="H32" s="6" t="n"/>
      <c r="I32" s="6" t="inlineStr">
        <is>
          <t>New research: contact to source</t>
        </is>
      </c>
      <c r="J32" s="15" t="inlineStr">
        <is>
          <t>Verified - current role</t>
        </is>
      </c>
      <c r="K32" s="6" t="inlineStr">
        <is>
          <t>Muck Rack: TOI Gurgaon Assistant Editor</t>
        </is>
      </c>
      <c r="L32" s="16" t="inlineStr">
        <is>
          <t>https://muckrack.com/bagishjhatoi/articles</t>
        </is>
      </c>
      <c r="M32" s="6" t="inlineStr">
        <is>
          <t>Fit: DHS sports complex (infrastructure angle for Gurgaon).</t>
        </is>
      </c>
    </row>
    <row r="33">
      <c r="A33" s="6" t="n">
        <v>29</v>
      </c>
      <c r="B33" s="6" t="inlineStr">
        <is>
          <t>Joel Joseph</t>
        </is>
      </c>
      <c r="C33" s="6" t="inlineStr">
        <is>
          <t>Reporter</t>
        </is>
      </c>
      <c r="D33" s="6" t="inlineStr">
        <is>
          <t>The Times of India (Gurgaon)</t>
        </is>
      </c>
      <c r="E33" s="6" t="inlineStr">
        <is>
          <t>Gurgaon city news</t>
        </is>
      </c>
      <c r="F33" s="6" t="inlineStr">
        <is>
          <t>Gurugram</t>
        </is>
      </c>
      <c r="G33" s="6" t="n"/>
      <c r="H33" s="6" t="n"/>
      <c r="I33" s="6" t="inlineStr">
        <is>
          <t>New research: contact to source</t>
        </is>
      </c>
      <c r="J33" s="15" t="inlineStr">
        <is>
          <t>Verified - current role</t>
        </is>
      </c>
      <c r="K33" s="6" t="inlineStr">
        <is>
          <t>Muck Rack: TOI Gurgaon stories</t>
        </is>
      </c>
      <c r="L33" s="16" t="inlineStr">
        <is>
          <t>https://muckrack.com/joel-joseph/articles</t>
        </is>
      </c>
      <c r="M33" s="6" t="inlineStr">
        <is>
          <t>Fit: DHS local news.</t>
        </is>
      </c>
    </row>
    <row r="34">
      <c r="A34" s="6" t="n">
        <v>30</v>
      </c>
      <c r="B34" s="6" t="inlineStr">
        <is>
          <t>Sumedha Sharma</t>
        </is>
      </c>
      <c r="C34" s="6" t="inlineStr">
        <is>
          <t>Senior Staff Correspondent</t>
        </is>
      </c>
      <c r="D34" s="6" t="inlineStr">
        <is>
          <t>The Tribune</t>
        </is>
      </c>
      <c r="E34" s="6" t="inlineStr">
        <is>
          <t>Gurugram and Haryana</t>
        </is>
      </c>
      <c r="F34" s="6" t="inlineStr">
        <is>
          <t>Gurugram</t>
        </is>
      </c>
      <c r="G34" s="6" t="n"/>
      <c r="H34" s="6" t="n"/>
      <c r="I34" s="6" t="inlineStr">
        <is>
          <t>New research: contact to source</t>
        </is>
      </c>
      <c r="J34" s="17" t="inlineStr">
        <is>
          <t>Verified - active 2026</t>
        </is>
      </c>
      <c r="K34" s="6" t="inlineStr">
        <is>
          <t>Tribune author page with 2026 Gurugram stories</t>
        </is>
      </c>
      <c r="L34" s="16" t="inlineStr">
        <is>
          <t>https://www.tribuneindia.com/author/sumedha-sharma/114</t>
        </is>
      </c>
      <c r="M34" s="6" t="inlineStr">
        <is>
          <t>Fit: DHS (Haryana readership).</t>
        </is>
      </c>
    </row>
    <row r="35">
      <c r="A35" s="6" t="n">
        <v>31</v>
      </c>
      <c r="B35" s="6" t="inlineStr">
        <is>
          <t>Shradha Chettri</t>
        </is>
      </c>
      <c r="C35" s="6" t="inlineStr">
        <is>
          <t>Assistant Editor</t>
        </is>
      </c>
      <c r="D35" s="6" t="inlineStr">
        <is>
          <t>Careers360</t>
        </is>
      </c>
      <c r="E35" s="6" t="inlineStr">
        <is>
          <t>Education policy, school governance, Delhi</t>
        </is>
      </c>
      <c r="F35" s="6" t="inlineStr">
        <is>
          <t>New Delhi</t>
        </is>
      </c>
      <c r="G35" s="6" t="n"/>
      <c r="H35" s="6" t="n"/>
      <c r="I35" s="6" t="inlineStr">
        <is>
          <t>New research: contact to source</t>
        </is>
      </c>
      <c r="J35" s="15" t="inlineStr">
        <is>
          <t>Verified - current role</t>
        </is>
      </c>
      <c r="K35" s="6" t="inlineStr">
        <is>
          <t>Assistant Editor at Careers360 since 2024; ex-TOI Principal Correspondent</t>
        </is>
      </c>
      <c r="L35" s="16" t="inlineStr">
        <is>
          <t>https://www.linkedin.com/in/shradha-chettri-52044638/</t>
        </is>
      </c>
      <c r="M35" s="6" t="inlineStr">
        <is>
          <t>Fit: DHS education policy angles.</t>
        </is>
      </c>
    </row>
    <row r="36">
      <c r="A36" s="6" t="n">
        <v>32</v>
      </c>
      <c r="B36" s="6" t="inlineStr">
        <is>
          <t>Rahul Kumar</t>
        </is>
      </c>
      <c r="C36" s="6" t="inlineStr">
        <is>
          <t>Reporter (education)</t>
        </is>
      </c>
      <c r="D36" s="6" t="inlineStr">
        <is>
          <t>NDTV</t>
        </is>
      </c>
      <c r="E36" s="6" t="inlineStr">
        <is>
          <t>Exams, education news</t>
        </is>
      </c>
      <c r="F36" s="6" t="inlineStr">
        <is>
          <t>New Delhi</t>
        </is>
      </c>
      <c r="G36" s="6" t="n"/>
      <c r="H36" s="6" t="n"/>
      <c r="I36" s="6" t="inlineStr">
        <is>
          <t>New research: contact to source</t>
        </is>
      </c>
      <c r="J36" s="17" t="inlineStr">
        <is>
          <t>Verified - active 2026</t>
        </is>
      </c>
      <c r="K36" s="6" t="inlineStr">
        <is>
          <t>2026 bylines on GATE 2026, Pariksha Pe Charcha 2026</t>
        </is>
      </c>
      <c r="L36" s="16" t="inlineStr">
        <is>
          <t>https://muckrack.com/rahul-kumar/articles</t>
        </is>
      </c>
      <c r="M36" s="6" t="inlineStr">
        <is>
          <t>Fit: DHS news releases.</t>
        </is>
      </c>
    </row>
    <row r="37">
      <c r="A37" s="6" t="n">
        <v>33</v>
      </c>
      <c r="B37" s="6" t="inlineStr">
        <is>
          <t>Vikram Chaudhary</t>
        </is>
      </c>
      <c r="C37" s="6" t="inlineStr">
        <is>
          <t>Senior Assistant Editor / Features Writer</t>
        </is>
      </c>
      <c r="D37" s="6" t="inlineStr">
        <is>
          <t>Financial Express</t>
        </is>
      </c>
      <c r="E37" s="6" t="inlineStr">
        <is>
          <t>Education (FE Education)</t>
        </is>
      </c>
      <c r="F37" s="6" t="inlineStr">
        <is>
          <t>New Delhi</t>
        </is>
      </c>
      <c r="G37" s="6" t="n"/>
      <c r="H37" s="6" t="n"/>
      <c r="I37" s="6" t="inlineStr">
        <is>
          <t>New research: contact to source</t>
        </is>
      </c>
      <c r="J37" s="17" t="inlineStr">
        <is>
          <t>Verified - active 2026</t>
        </is>
      </c>
      <c r="K37" s="6" t="inlineStr">
        <is>
          <t>2026 education bylines (IIM enrolment, Plaksha, foreign universities)</t>
        </is>
      </c>
      <c r="L37" s="16" t="inlineStr">
        <is>
          <t>https://muckrack.com/vikram-chaudhary/articles</t>
        </is>
      </c>
      <c r="M37" s="6" t="inlineStr">
        <is>
          <t>Your lists have an older contact for him; verify before use.</t>
        </is>
      </c>
    </row>
    <row r="38">
      <c r="A38" s="6" t="n">
        <v>34</v>
      </c>
      <c r="B38" s="6" t="inlineStr">
        <is>
          <t>Banasree Purkayastha</t>
        </is>
      </c>
      <c r="C38" s="6" t="inlineStr">
        <is>
          <t>Journalist</t>
        </is>
      </c>
      <c r="D38" s="6" t="inlineStr">
        <is>
          <t>Financial Express</t>
        </is>
      </c>
      <c r="E38" s="6" t="inlineStr">
        <is>
          <t>Education, CBSE, edtech</t>
        </is>
      </c>
      <c r="F38" s="6" t="n"/>
      <c r="G38" s="6" t="n"/>
      <c r="H38" s="6" t="n"/>
      <c r="I38" s="6" t="inlineStr">
        <is>
          <t>New research: contact to source</t>
        </is>
      </c>
      <c r="J38" s="15" t="inlineStr">
        <is>
          <t>Verified - current role</t>
        </is>
      </c>
      <c r="K38" s="6" t="inlineStr">
        <is>
          <t>Muck Rack: FE education pieces incl. CBSE two-tier exams</t>
        </is>
      </c>
      <c r="L38" s="16" t="inlineStr">
        <is>
          <t>https://muckrack.com/banasree-purkayastha/articles</t>
        </is>
      </c>
      <c r="M38" s="6" t="inlineStr">
        <is>
          <t>Fit: DHS founder or principal comment.</t>
        </is>
      </c>
    </row>
    <row r="39">
      <c r="A39" s="6" t="n">
        <v>35</v>
      </c>
      <c r="B39" s="6" t="inlineStr">
        <is>
          <t>Sovi Vidyadharan</t>
        </is>
      </c>
      <c r="C39" s="6" t="inlineStr">
        <is>
          <t>Journalist</t>
        </is>
      </c>
      <c r="D39" s="6" t="inlineStr">
        <is>
          <t>The Indian Express</t>
        </is>
      </c>
      <c r="E39" s="6" t="inlineStr">
        <is>
          <t>Education, school admissions, CBSE</t>
        </is>
      </c>
      <c r="F39" s="6" t="n"/>
      <c r="G39" s="6" t="n"/>
      <c r="H39" s="6" t="n"/>
      <c r="I39" s="6" t="inlineStr">
        <is>
          <t>New research: contact to source</t>
        </is>
      </c>
      <c r="J39" s="15" t="inlineStr">
        <is>
          <t>Verified - current role</t>
        </is>
      </c>
      <c r="K39" s="6" t="inlineStr">
        <is>
          <t>Muck Rack: IE education articles on admissions and CBSE schools</t>
        </is>
      </c>
      <c r="L39" s="16" t="inlineStr">
        <is>
          <t>https://muckrack.com/sovi-vidyadharan/articles</t>
        </is>
      </c>
      <c r="M39" s="6" t="inlineStr">
        <is>
          <t>Fit: DHS admissions season (October).</t>
        </is>
      </c>
    </row>
    <row r="40">
      <c r="A40" s="6" t="n">
        <v>36</v>
      </c>
      <c r="B40" s="6" t="inlineStr">
        <is>
          <t>G. Sampath</t>
        </is>
      </c>
      <c r="C40" s="6" t="inlineStr">
        <is>
          <t>Social Affairs Editor</t>
        </is>
      </c>
      <c r="D40" s="6" t="inlineStr">
        <is>
          <t>The Hindu</t>
        </is>
      </c>
      <c r="E40" s="6" t="inlineStr">
        <is>
          <t>Social affairs incl. education</t>
        </is>
      </c>
      <c r="F40" s="6" t="inlineStr">
        <is>
          <t>New Delhi</t>
        </is>
      </c>
      <c r="G40" s="6" t="n"/>
      <c r="H40" s="6" t="n"/>
      <c r="I40" s="6" t="inlineStr">
        <is>
          <t>New research: contact to source</t>
        </is>
      </c>
      <c r="J40" s="15" t="inlineStr">
        <is>
          <t>Verified - current role</t>
        </is>
      </c>
      <c r="K40" s="6" t="inlineStr">
        <is>
          <t>Muck Rack: The Hindu Social Affairs Editor, writes on education and rankings</t>
        </is>
      </c>
      <c r="L40" s="16" t="inlineStr">
        <is>
          <t>https://muckrack.com/samzsays/articles</t>
        </is>
      </c>
      <c r="M40" s="6" t="inlineStr">
        <is>
          <t>Fit: DHS grassroots-sport and education policy op-ed angle.</t>
        </is>
      </c>
    </row>
    <row r="41">
      <c r="A41" s="6" t="n">
        <v>37</v>
      </c>
      <c r="B41" s="6" t="inlineStr">
        <is>
          <t>Archit Gupta</t>
        </is>
      </c>
      <c r="C41" s="6" t="inlineStr">
        <is>
          <t>Journalist (ex-News18, ABP, NDTV)</t>
        </is>
      </c>
      <c r="D41" s="6" t="inlineStr">
        <is>
          <t>Freelance</t>
        </is>
      </c>
      <c r="E41" s="6" t="inlineStr">
        <is>
          <t>Education and employment</t>
        </is>
      </c>
      <c r="F41" s="6" t="inlineStr">
        <is>
          <t>New Delhi</t>
        </is>
      </c>
      <c r="G41" s="6" t="n"/>
      <c r="H41" s="6" t="n"/>
      <c r="I41" s="6" t="inlineStr">
        <is>
          <t>New research: contact to source</t>
        </is>
      </c>
      <c r="J41" s="17" t="inlineStr">
        <is>
          <t>Verified - active 2026</t>
        </is>
      </c>
      <c r="K41" s="6" t="inlineStr">
        <is>
          <t>Education bylines Feb and Mar 2026</t>
        </is>
      </c>
      <c r="L41" s="16" t="inlineStr">
        <is>
          <t>https://muckrack.com/archit-gupta-journalist/articles</t>
        </is>
      </c>
      <c r="M41" s="6" t="inlineStr">
        <is>
          <t>Your NBT list entry is outdated.</t>
        </is>
      </c>
    </row>
    <row r="42">
      <c r="A42" s="6" t="n">
        <v>38</v>
      </c>
      <c r="B42" s="6" t="inlineStr">
        <is>
          <t>Avishek Roy</t>
        </is>
      </c>
      <c r="C42" s="6" t="inlineStr">
        <is>
          <t>Assistant Editor (Olympic sports)</t>
        </is>
      </c>
      <c r="D42" s="6" t="inlineStr">
        <is>
          <t>Hindustan Times</t>
        </is>
      </c>
      <c r="E42" s="6" t="inlineStr">
        <is>
          <t>Olympic sports, sports administration</t>
        </is>
      </c>
      <c r="F42" s="6" t="inlineStr">
        <is>
          <t>New Delhi</t>
        </is>
      </c>
      <c r="G42" s="6" t="n"/>
      <c r="H42" s="6" t="n"/>
      <c r="I42" s="6" t="inlineStr">
        <is>
          <t>New research: contact to source</t>
        </is>
      </c>
      <c r="J42" s="15" t="inlineStr">
        <is>
          <t>Verified - current role</t>
        </is>
      </c>
      <c r="K42" s="6" t="inlineStr">
        <is>
          <t>Muck Rack: HT Olympic sports coverage</t>
        </is>
      </c>
      <c r="L42" s="16" t="inlineStr">
        <is>
          <t>https://muckrack.com/avishek-roy/articles</t>
        </is>
      </c>
      <c r="M42" s="6" t="inlineStr">
        <is>
          <t>SPORTS: top fit for DHS sports complex + 2036 Olympics / grassroots talent angle.</t>
        </is>
      </c>
    </row>
    <row r="43">
      <c r="A43" s="6" t="n">
        <v>39</v>
      </c>
      <c r="B43" s="6" t="inlineStr">
        <is>
          <t>Rutvick Mehta</t>
        </is>
      </c>
      <c r="C43" s="6" t="inlineStr">
        <is>
          <t>Sports journalist</t>
        </is>
      </c>
      <c r="D43" s="6" t="inlineStr">
        <is>
          <t>Hindustan Times (outlet to confirm)</t>
        </is>
      </c>
      <c r="E43" s="6" t="inlineStr">
        <is>
          <t>Olympic sports, cricket</t>
        </is>
      </c>
      <c r="F43" s="6" t="inlineStr">
        <is>
          <t>Mumbai</t>
        </is>
      </c>
      <c r="G43" s="6" t="n"/>
      <c r="H43" s="6" t="n"/>
      <c r="I43" s="6" t="inlineStr">
        <is>
          <t>New research: contact to source</t>
        </is>
      </c>
      <c r="J43" s="17" t="inlineStr">
        <is>
          <t>Verified - active 2026</t>
        </is>
      </c>
      <c r="K43" s="6" t="inlineStr">
        <is>
          <t>Covered Asian Games 2026 (Aichi-Nagoya)</t>
        </is>
      </c>
      <c r="L43" s="16" t="inlineStr">
        <is>
          <t>https://muckrack.com/rutvick-mehta/articles</t>
        </is>
      </c>
      <c r="M43" s="6" t="inlineStr">
        <is>
          <t>SPORTS: grassroots athlete stories.</t>
        </is>
      </c>
    </row>
    <row r="44">
      <c r="A44" s="6" t="n">
        <v>40</v>
      </c>
      <c r="B44" s="6" t="inlineStr">
        <is>
          <t>Sabi Hussain</t>
        </is>
      </c>
      <c r="C44" s="6" t="inlineStr">
        <is>
          <t>Sports Reporter</t>
        </is>
      </c>
      <c r="D44" s="6" t="inlineStr">
        <is>
          <t>The Times of India</t>
        </is>
      </c>
      <c r="E44" s="6" t="inlineStr">
        <is>
          <t>Sports Ministry, SAI, IOA, Olympic sports</t>
        </is>
      </c>
      <c r="F44" s="6" t="inlineStr">
        <is>
          <t>New Delhi</t>
        </is>
      </c>
      <c r="G44" s="6" t="n"/>
      <c r="H44" s="6" t="n"/>
      <c r="I44" s="6" t="inlineStr">
        <is>
          <t>New research: contact to source</t>
        </is>
      </c>
      <c r="J44" s="15" t="inlineStr">
        <is>
          <t>Verified - current role</t>
        </is>
      </c>
      <c r="K44" s="6" t="inlineStr">
        <is>
          <t>Muck Rack: covers Sports Ministry, SAI, IOA (2025 bylines)</t>
        </is>
      </c>
      <c r="L44" s="16" t="inlineStr">
        <is>
          <t>https://muckrack.com/sabi-hussain/articles</t>
        </is>
      </c>
      <c r="M44" s="6" t="inlineStr">
        <is>
          <t>SPORTS: Khelo India, athlete stipend, talent ID programme angle.</t>
        </is>
      </c>
    </row>
    <row r="45">
      <c r="A45" s="6" t="n">
        <v>41</v>
      </c>
      <c r="B45" s="6" t="inlineStr">
        <is>
          <t>Mihir Vasavda</t>
        </is>
      </c>
      <c r="C45" s="6" t="inlineStr">
        <is>
          <t>Sports journalist; co-host, Express Sports podcast</t>
        </is>
      </c>
      <c r="D45" s="6" t="inlineStr">
        <is>
          <t>The Indian Express</t>
        </is>
      </c>
      <c r="E45" s="6" t="inlineStr">
        <is>
          <t>Olympic sports, hockey, badminton</t>
        </is>
      </c>
      <c r="F45" s="6" t="n"/>
      <c r="G45" s="6" t="n"/>
      <c r="H45" s="6" t="n"/>
      <c r="I45" s="6" t="inlineStr">
        <is>
          <t>New research: contact to source</t>
        </is>
      </c>
      <c r="J45" s="17" t="inlineStr">
        <is>
          <t>Verified - active 2026</t>
        </is>
      </c>
      <c r="K45" s="6" t="inlineStr">
        <is>
          <t>Express Sports podcast episodes in 2026</t>
        </is>
      </c>
      <c r="L45" s="16" t="inlineStr">
        <is>
          <t>https://www.spreaker.com/podcast/express-sports--5007925</t>
        </is>
      </c>
      <c r="M45" s="6" t="inlineStr">
        <is>
          <t>SPORTS: long-form grassroots sports features.</t>
        </is>
      </c>
    </row>
    <row r="46">
      <c r="A46" s="6" t="n">
        <v>42</v>
      </c>
      <c r="B46" s="6" t="inlineStr">
        <is>
          <t>Y.B. Sarangi</t>
        </is>
      </c>
      <c r="C46" s="6" t="inlineStr">
        <is>
          <t>Sports journalist</t>
        </is>
      </c>
      <c r="D46" s="6" t="inlineStr">
        <is>
          <t>The Hindu / Sportstar</t>
        </is>
      </c>
      <c r="E46" s="6" t="inlineStr">
        <is>
          <t>Olympic sports, golf, cricket</t>
        </is>
      </c>
      <c r="F46" s="6" t="inlineStr">
        <is>
          <t>Kolkata</t>
        </is>
      </c>
      <c r="G46" s="6" t="n"/>
      <c r="H46" s="6" t="n"/>
      <c r="I46" s="6" t="inlineStr">
        <is>
          <t>New research: contact to source</t>
        </is>
      </c>
      <c r="J46" s="17" t="inlineStr">
        <is>
          <t>Verified - active 2026</t>
        </is>
      </c>
      <c r="K46" s="6" t="inlineStr">
        <is>
          <t>Interviewed golfer Saptak Talwar for Asian Games 2026 (Aug 2026)</t>
        </is>
      </c>
      <c r="L46" s="16" t="inlineStr">
        <is>
          <t>https://x.com/ybsarangi</t>
        </is>
      </c>
      <c r="M46" s="6" t="inlineStr">
        <is>
          <t>SPORTS: national reach, Sportstar features.</t>
        </is>
      </c>
    </row>
    <row r="47">
      <c r="A47" s="6" t="n">
        <v>43</v>
      </c>
      <c r="B47" s="6" t="inlineStr">
        <is>
          <t>Ayon Sengupta</t>
        </is>
      </c>
      <c r="C47" s="6" t="inlineStr">
        <is>
          <t>Editor</t>
        </is>
      </c>
      <c r="D47" s="6" t="inlineStr">
        <is>
          <t>Sportstar</t>
        </is>
      </c>
      <c r="E47" s="6" t="inlineStr">
        <is>
          <t>Sport (all disciplines)</t>
        </is>
      </c>
      <c r="F47" s="6" t="inlineStr">
        <is>
          <t>Chennai</t>
        </is>
      </c>
      <c r="G47" s="6" t="n"/>
      <c r="H47" s="6" t="n"/>
      <c r="I47" s="6" t="inlineStr">
        <is>
          <t>New research: contact to source</t>
        </is>
      </c>
      <c r="J47" s="15" t="inlineStr">
        <is>
          <t>Verified - current role</t>
        </is>
      </c>
      <c r="K47" s="6" t="inlineStr">
        <is>
          <t>Editor of Sportstar (The Hindu Group)</t>
        </is>
      </c>
      <c r="L47" s="16" t="inlineStr">
        <is>
          <t>https://muckrack.com/ayon-sengupta-1/articles</t>
        </is>
      </c>
      <c r="M47" s="6" t="inlineStr">
        <is>
          <t>SPORTS: feature on school sports infrastructure.</t>
        </is>
      </c>
    </row>
  </sheetData>
  <autoFilter ref="A4:M47"/>
  <dataValidations count="1">
    <dataValidation sqref="J5:J47" showDropDown="0" showInputMessage="0" showErrorMessage="0" allowBlank="1" type="list">
      <formula1>"Verified - active 2026,Verified - current role,To confirm,Moved - updated"</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3" r:id="rId8"/>
    <hyperlink xmlns:r="http://schemas.openxmlformats.org/officeDocument/2006/relationships" ref="L14" r:id="rId9"/>
    <hyperlink xmlns:r="http://schemas.openxmlformats.org/officeDocument/2006/relationships" ref="L15" r:id="rId10"/>
    <hyperlink xmlns:r="http://schemas.openxmlformats.org/officeDocument/2006/relationships" ref="L16" r:id="rId11"/>
    <hyperlink xmlns:r="http://schemas.openxmlformats.org/officeDocument/2006/relationships" ref="L17" r:id="rId12"/>
    <hyperlink xmlns:r="http://schemas.openxmlformats.org/officeDocument/2006/relationships" ref="L18" r:id="rId13"/>
    <hyperlink xmlns:r="http://schemas.openxmlformats.org/officeDocument/2006/relationships" ref="L19" r:id="rId14"/>
    <hyperlink xmlns:r="http://schemas.openxmlformats.org/officeDocument/2006/relationships" ref="L20" r:id="rId15"/>
    <hyperlink xmlns:r="http://schemas.openxmlformats.org/officeDocument/2006/relationships" ref="L21" r:id="rId16"/>
    <hyperlink xmlns:r="http://schemas.openxmlformats.org/officeDocument/2006/relationships" ref="L22" r:id="rId17"/>
    <hyperlink xmlns:r="http://schemas.openxmlformats.org/officeDocument/2006/relationships" ref="L23" r:id="rId18"/>
    <hyperlink xmlns:r="http://schemas.openxmlformats.org/officeDocument/2006/relationships" ref="L25" r:id="rId19"/>
    <hyperlink xmlns:r="http://schemas.openxmlformats.org/officeDocument/2006/relationships" ref="L27" r:id="rId20"/>
    <hyperlink xmlns:r="http://schemas.openxmlformats.org/officeDocument/2006/relationships" ref="L28" r:id="rId21"/>
    <hyperlink xmlns:r="http://schemas.openxmlformats.org/officeDocument/2006/relationships" ref="L29" r:id="rId22"/>
    <hyperlink xmlns:r="http://schemas.openxmlformats.org/officeDocument/2006/relationships" ref="L30" r:id="rId23"/>
    <hyperlink xmlns:r="http://schemas.openxmlformats.org/officeDocument/2006/relationships" ref="L31" r:id="rId24"/>
    <hyperlink xmlns:r="http://schemas.openxmlformats.org/officeDocument/2006/relationships" ref="L32" r:id="rId25"/>
    <hyperlink xmlns:r="http://schemas.openxmlformats.org/officeDocument/2006/relationships" ref="L33" r:id="rId26"/>
    <hyperlink xmlns:r="http://schemas.openxmlformats.org/officeDocument/2006/relationships" ref="L34" r:id="rId27"/>
    <hyperlink xmlns:r="http://schemas.openxmlformats.org/officeDocument/2006/relationships" ref="L35" r:id="rId28"/>
    <hyperlink xmlns:r="http://schemas.openxmlformats.org/officeDocument/2006/relationships" ref="L36" r:id="rId29"/>
    <hyperlink xmlns:r="http://schemas.openxmlformats.org/officeDocument/2006/relationships" ref="L37" r:id="rId30"/>
    <hyperlink xmlns:r="http://schemas.openxmlformats.org/officeDocument/2006/relationships" ref="L38" r:id="rId31"/>
    <hyperlink xmlns:r="http://schemas.openxmlformats.org/officeDocument/2006/relationships" ref="L39" r:id="rId32"/>
    <hyperlink xmlns:r="http://schemas.openxmlformats.org/officeDocument/2006/relationships" ref="L40" r:id="rId33"/>
    <hyperlink xmlns:r="http://schemas.openxmlformats.org/officeDocument/2006/relationships" ref="L41" r:id="rId34"/>
    <hyperlink xmlns:r="http://schemas.openxmlformats.org/officeDocument/2006/relationships" ref="L42" r:id="rId35"/>
    <hyperlink xmlns:r="http://schemas.openxmlformats.org/officeDocument/2006/relationships" ref="L43" r:id="rId36"/>
    <hyperlink xmlns:r="http://schemas.openxmlformats.org/officeDocument/2006/relationships" ref="L44" r:id="rId37"/>
    <hyperlink xmlns:r="http://schemas.openxmlformats.org/officeDocument/2006/relationships" ref="L45" r:id="rId38"/>
    <hyperlink xmlns:r="http://schemas.openxmlformats.org/officeDocument/2006/relationships" ref="L46" r:id="rId39"/>
    <hyperlink xmlns:r="http://schemas.openxmlformats.org/officeDocument/2006/relationships" ref="L47" r:id="rId4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4" customWidth="1" min="3" max="3"/>
    <col width="50" customWidth="1" min="4" max="4"/>
    <col width="40" customWidth="1" min="5" max="5"/>
    <col width="36" customWidth="1" min="6" max="6"/>
    <col width="50" customWidth="1" min="7" max="7"/>
  </cols>
  <sheetData>
    <row r="1">
      <c r="A1" s="1" t="inlineStr">
        <is>
          <t>Moved - Do Not Use</t>
        </is>
      </c>
    </row>
    <row r="2">
      <c r="A2" s="13" t="inlineStr">
        <is>
          <t>Entries in your existing lists that are out of date. Remove or update these in the source files.</t>
        </is>
      </c>
    </row>
    <row r="4">
      <c r="A4" s="10" t="inlineStr">
        <is>
          <t>S.No</t>
        </is>
      </c>
      <c r="B4" s="10" t="inlineStr">
        <is>
          <t>Name</t>
        </is>
      </c>
      <c r="C4" s="10" t="inlineStr">
        <is>
          <t>Listed As (your files)</t>
        </is>
      </c>
      <c r="D4" s="10" t="inlineStr">
        <is>
          <t>Current Position</t>
        </is>
      </c>
      <c r="E4" s="10" t="inlineStr">
        <is>
          <t>Outdated Email(s) in Lists</t>
        </is>
      </c>
      <c r="F4" s="10" t="inlineStr">
        <is>
          <t>Found In</t>
        </is>
      </c>
      <c r="G4" s="10" t="inlineStr">
        <is>
          <t>Evidence Link</t>
        </is>
      </c>
    </row>
    <row r="5">
      <c r="A5" s="6" t="n">
        <v>1</v>
      </c>
      <c r="B5" s="6" t="inlineStr">
        <is>
          <t>Aasheesh Sharma</t>
        </is>
      </c>
      <c r="C5" s="6" t="inlineStr">
        <is>
          <t>HT Brunch, Hindustan Times</t>
        </is>
      </c>
      <c r="D5" s="6" t="inlineStr">
        <is>
          <t>Digital Editor, Outlook</t>
        </is>
      </c>
      <c r="E5" s="6" t="inlineStr">
        <is>
          <t>aasheesh.sharma@hindustantimes.com</t>
        </is>
      </c>
      <c r="F5" s="6" t="inlineStr">
        <is>
          <t>Sports Media List PDF</t>
        </is>
      </c>
      <c r="G5" s="16" t="inlineStr">
        <is>
          <t>https://www.linkedin.com/in/aasheesh-sharma/</t>
        </is>
      </c>
    </row>
    <row r="6">
      <c r="A6" s="6" t="n">
        <v>2</v>
      </c>
      <c r="B6" s="6" t="inlineStr">
        <is>
          <t>Shrabonti Bagchi</t>
        </is>
      </c>
      <c r="C6" s="6" t="inlineStr">
        <is>
          <t>National Features Editor, Mint Lounge</t>
        </is>
      </c>
      <c r="D6" s="6" t="inlineStr">
        <is>
          <t>Left Mint on 9 Mar 2026; independent writer</t>
        </is>
      </c>
      <c r="E6" s="6" t="inlineStr">
        <is>
          <t>-</t>
        </is>
      </c>
      <c r="F6" s="6" t="inlineStr">
        <is>
          <t>Not in lists</t>
        </is>
      </c>
      <c r="G6" s="16" t="inlineStr">
        <is>
          <t>https://x.com/Shrabonti/status/2030894494447710494</t>
        </is>
      </c>
    </row>
    <row r="7">
      <c r="A7" s="6" t="n">
        <v>3</v>
      </c>
      <c r="B7" s="6" t="inlineStr">
        <is>
          <t>Fareeha Iftikhar</t>
        </is>
      </c>
      <c r="C7" s="6" t="inlineStr">
        <is>
          <t>Hindustan Times</t>
        </is>
      </c>
      <c r="D7" s="6" t="inlineStr">
        <is>
          <t>Assistant Editor, ThePrint (education) since Aug 2024</t>
        </is>
      </c>
      <c r="E7" s="6" t="inlineStr">
        <is>
          <t>fareeha.iftikhar@htdigital.in</t>
        </is>
      </c>
      <c r="F7" s="6" t="inlineStr">
        <is>
          <t>Education Media List; Robust Education Media List</t>
        </is>
      </c>
      <c r="G7" s="16" t="inlineStr">
        <is>
          <t>https://theprint.in/author/fareeha-iftikhar/</t>
        </is>
      </c>
    </row>
    <row r="8">
      <c r="A8" s="6" t="n">
        <v>4</v>
      </c>
      <c r="B8" s="6" t="inlineStr">
        <is>
          <t>Abhishek Sahu</t>
        </is>
      </c>
      <c r="C8" s="6" t="inlineStr">
        <is>
          <t>Moneycontrol (education)</t>
        </is>
      </c>
      <c r="D8" s="6" t="inlineStr">
        <is>
          <t>Principal Correspondent, The Economic Times (HR and education)</t>
        </is>
      </c>
      <c r="E8" s="6" t="inlineStr">
        <is>
          <t>Abhishek.Sahu@nw18.com</t>
        </is>
      </c>
      <c r="F8" s="6" t="inlineStr">
        <is>
          <t>Education Media List; Robust Education Media List</t>
        </is>
      </c>
      <c r="G8" s="16" t="inlineStr">
        <is>
          <t>https://muckrack.com/abhishek-sahu-2/articles</t>
        </is>
      </c>
    </row>
    <row r="9">
      <c r="A9" s="6" t="n">
        <v>5</v>
      </c>
      <c r="B9" s="6" t="inlineStr">
        <is>
          <t>Sakshi Gupta</t>
        </is>
      </c>
      <c r="C9" s="6" t="inlineStr">
        <is>
          <t>Free Press Journal</t>
        </is>
      </c>
      <c r="D9" s="6" t="inlineStr">
        <is>
          <t>Senior Content Developer, Careers360</t>
        </is>
      </c>
      <c r="E9" s="6" t="inlineStr">
        <is>
          <t>sakshi@freepressjournal.in</t>
        </is>
      </c>
      <c r="F9" s="6" t="inlineStr">
        <is>
          <t>Education Media List</t>
        </is>
      </c>
      <c r="G9" s="16" t="inlineStr">
        <is>
          <t>https://news.careers360.com/author/sakshi-gupta</t>
        </is>
      </c>
    </row>
    <row r="10">
      <c r="A10" s="6" t="n">
        <v>6</v>
      </c>
      <c r="B10" s="6" t="inlineStr">
        <is>
          <t>Saurav Pandey</t>
        </is>
      </c>
      <c r="C10" s="6" t="inlineStr">
        <is>
          <t>Moneycontrol / TOI Online (education)</t>
        </is>
      </c>
      <c r="D10" s="6" t="inlineStr">
        <is>
          <t>Moneycontrol, now on markets, IPOs and corporate news (not education)</t>
        </is>
      </c>
      <c r="E10" s="6" t="inlineStr">
        <is>
          <t>saurav.pandey@nw18.com</t>
        </is>
      </c>
      <c r="F10" s="6" t="inlineStr">
        <is>
          <t>Education Media List; Robust Education Media List</t>
        </is>
      </c>
      <c r="G10" s="16" t="inlineStr">
        <is>
          <t>https://www.linkedin.com/in/saurav-pandey-1083b8221/</t>
        </is>
      </c>
    </row>
    <row r="11">
      <c r="A11" s="6" t="n">
        <v>7</v>
      </c>
      <c r="B11" s="6" t="inlineStr">
        <is>
          <t>Shreya Mundhra</t>
        </is>
      </c>
      <c r="C11" s="6" t="inlineStr">
        <is>
          <t>Times of India (education)</t>
        </is>
      </c>
      <c r="D11" s="6" t="inlineStr">
        <is>
          <t>Sub-Editor, Firstpost</t>
        </is>
      </c>
      <c r="E11" s="6" t="inlineStr">
        <is>
          <t>shreya.mundhra@timesgroup.com</t>
        </is>
      </c>
      <c r="F11" s="6" t="inlineStr">
        <is>
          <t>Robust Education Media List</t>
        </is>
      </c>
      <c r="G11" s="16" t="inlineStr">
        <is>
          <t>https://muckrack.com/shreya-mundhra/bio</t>
        </is>
      </c>
    </row>
    <row r="12">
      <c r="A12" s="6" t="n">
        <v>8</v>
      </c>
      <c r="B12" s="6" t="inlineStr">
        <is>
          <t>Danita Yadav</t>
        </is>
      </c>
      <c r="C12" s="6" t="inlineStr">
        <is>
          <t>Outlook / Times Now (education)</t>
        </is>
      </c>
      <c r="D12" s="6" t="inlineStr">
        <is>
          <t>HT Media Group (beat not confirmed)</t>
        </is>
      </c>
      <c r="E12" s="6" t="inlineStr">
        <is>
          <t>danita.yadav@outlookindia.com; danita.yadav@timesgroup.com</t>
        </is>
      </c>
      <c r="F12" s="6" t="inlineStr">
        <is>
          <t>Education Media List; Robust Education Media List</t>
        </is>
      </c>
      <c r="G12" s="16" t="inlineStr">
        <is>
          <t>https://www.linkedin.com/in/danita-yadav/</t>
        </is>
      </c>
    </row>
    <row r="13">
      <c r="A13" s="6" t="n">
        <v>9</v>
      </c>
      <c r="B13" s="6" t="inlineStr">
        <is>
          <t>Monika Rawal</t>
        </is>
      </c>
      <c r="C13" s="6" t="inlineStr">
        <is>
          <t>Senior Entertainment Editor, HT City</t>
        </is>
      </c>
      <c r="D13" s="6" t="inlineStr">
        <is>
          <t>Consulting Editor, Events and Special Projects, Times Internet (Aug 2025)</t>
        </is>
      </c>
      <c r="E13" s="6" t="inlineStr">
        <is>
          <t>-</t>
        </is>
      </c>
      <c r="F13" s="6" t="inlineStr">
        <is>
          <t>Not in lists</t>
        </is>
      </c>
      <c r="G13" s="16" t="inlineStr">
        <is>
          <t>https://www.exchange4media.com/experiential-marketing-news/monika-rawal-joins-times-internet-as-consulting-editor-events-and-special-projects-146470.html</t>
        </is>
      </c>
    </row>
    <row r="14">
      <c r="A14" s="6" t="n">
        <v>10</v>
      </c>
      <c r="B14" s="6" t="inlineStr">
        <is>
          <t>Karuna Laungani</t>
        </is>
      </c>
      <c r="C14" s="6" t="inlineStr">
        <is>
          <t>Editor, Elle India</t>
        </is>
      </c>
      <c r="D14" s="6" t="inlineStr">
        <is>
          <t>Elle India is now led by Ainee Nizami Ahmedi</t>
        </is>
      </c>
      <c r="E14" s="6" t="inlineStr">
        <is>
          <t>-</t>
        </is>
      </c>
      <c r="F14" s="6" t="inlineStr">
        <is>
          <t>A &amp; M Media List (Magazines)</t>
        </is>
      </c>
      <c r="G14" s="16" t="inlineStr">
        <is>
          <t>https://elle.in/contact-us</t>
        </is>
      </c>
    </row>
    <row r="15">
      <c r="A15" s="6" t="n">
        <v>11</v>
      </c>
      <c r="B15" s="6" t="inlineStr">
        <is>
          <t>Ruchika Mehta</t>
        </is>
      </c>
      <c r="C15" s="6" t="inlineStr">
        <is>
          <t>HELLO! India (Worldwide Media email)</t>
        </is>
      </c>
      <c r="D15" s="6" t="inlineStr">
        <is>
          <t>Still Editor of HELLO!, now under India Today Group; also India Today Spice and Brides Today</t>
        </is>
      </c>
      <c r="E15" s="6" t="inlineStr">
        <is>
          <t>ruchikamehta@wwm.co.in</t>
        </is>
      </c>
      <c r="F15" s="6" t="inlineStr">
        <is>
          <t>A &amp; M Media List (Online)</t>
        </is>
      </c>
      <c r="G15" s="16" t="inlineStr">
        <is>
          <t>https://www.exchange4media.com/people-movement-news/ruchika-mehta-takes-additional-charge-as-editor-of-india-today-spice-158393.html</t>
        </is>
      </c>
    </row>
    <row r="16">
      <c r="A16" s="6" t="n">
        <v>12</v>
      </c>
      <c r="B16" s="6" t="inlineStr">
        <is>
          <t>Puniti Pandey</t>
        </is>
      </c>
      <c r="C16" s="6" t="inlineStr">
        <is>
          <t>Times group email</t>
        </is>
      </c>
      <c r="D16" s="6" t="inlineStr">
        <is>
          <t>NDTV, Senior Sub Editor (education)</t>
        </is>
      </c>
      <c r="E16" s="6" t="inlineStr">
        <is>
          <t>puniti.pandey@timesgroup.com</t>
        </is>
      </c>
      <c r="F16" s="6" t="inlineStr">
        <is>
          <t>Education Media List</t>
        </is>
      </c>
      <c r="G16" s="16" t="inlineStr">
        <is>
          <t>https://muckrack.com/puniti-pandey/articles</t>
        </is>
      </c>
    </row>
    <row r="17">
      <c r="A17" s="6" t="n">
        <v>13</v>
      </c>
      <c r="B17" s="6" t="inlineStr">
        <is>
          <t>Deeksha Teri</t>
        </is>
      </c>
      <c r="C17" s="6" t="inlineStr">
        <is>
          <t>Indian Express (education)</t>
        </is>
      </c>
      <c r="D17" s="6" t="inlineStr">
        <is>
          <t>Assistant Editor, Times Now News</t>
        </is>
      </c>
      <c r="E17" s="6" t="inlineStr">
        <is>
          <t>deeksha.teri@indianexpress.com; deeksha.teri@timesgroup.com</t>
        </is>
      </c>
      <c r="F17" s="6" t="inlineStr">
        <is>
          <t>Robust Education Media List; Education Media List</t>
        </is>
      </c>
      <c r="G17" s="16" t="inlineStr">
        <is>
          <t>https://muckrack.com/deeksha-teri</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2026-10-04T17:20:53Z</dcterms:created>
  <dcterms:modified xsi:type="dcterms:W3CDTF">2026-10-04T17:20:53Z</dcterms:modified>
</cp:coreProperties>
</file>